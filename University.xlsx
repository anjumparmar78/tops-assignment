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0E6396D2-FFBB-4FAD-BC20-674F89579550}" xr6:coauthVersionLast="47" xr6:coauthVersionMax="47" xr10:uidLastSave="{00000000-0000-0000-0000-000000000000}"/>
  <bookViews>
    <workbookView xWindow="-120" yWindow="-120" windowWidth="20730" windowHeight="11160" activeTab="2" xr2:uid="{0ED14842-6A7B-437A-9047-AA0E13B91781}"/>
  </bookViews>
  <sheets>
    <sheet name="Sheet1" sheetId="2" r:id="rId1"/>
    <sheet name="Sheet3" sheetId="5" r:id="rId2"/>
    <sheet name="University" sheetId="1" r:id="rId3"/>
  </sheets>
  <definedNames>
    <definedName name="_xlnm._FilterDatabase" localSheetId="2" hidden="1">University!$A$1:$J$1201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M27" i="1"/>
  <c r="N27" i="1"/>
  <c r="O27" i="1"/>
  <c r="P27" i="1"/>
  <c r="Q27" i="1"/>
  <c r="R27" i="1"/>
  <c r="K29" i="1"/>
  <c r="M29" i="1"/>
  <c r="N29" i="1"/>
  <c r="O29" i="1"/>
  <c r="P29" i="1"/>
  <c r="Q29" i="1"/>
  <c r="R29" i="1"/>
  <c r="Y4" i="1"/>
  <c r="O1200" i="1"/>
  <c r="O1199" i="1"/>
  <c r="O1197" i="1"/>
  <c r="O1193" i="1"/>
  <c r="O1192" i="1"/>
  <c r="O1186" i="1"/>
  <c r="O1184" i="1"/>
  <c r="O1183" i="1"/>
  <c r="O1182" i="1"/>
  <c r="O1179" i="1"/>
  <c r="O1178" i="1"/>
  <c r="O1177" i="1"/>
  <c r="O1175" i="1"/>
  <c r="O1174" i="1"/>
  <c r="O1173" i="1"/>
  <c r="O1171" i="1"/>
  <c r="O1169" i="1"/>
  <c r="O1168" i="1"/>
  <c r="O1167" i="1"/>
  <c r="O1165" i="1"/>
  <c r="O1164" i="1"/>
  <c r="O1161" i="1"/>
  <c r="O1160" i="1"/>
  <c r="O1159" i="1"/>
  <c r="O1157" i="1"/>
  <c r="O1156" i="1"/>
  <c r="O1154" i="1"/>
  <c r="O1153" i="1"/>
  <c r="O1152" i="1"/>
  <c r="O1151" i="1"/>
  <c r="O1150" i="1"/>
  <c r="O1149" i="1"/>
  <c r="O1148" i="1"/>
  <c r="O1146" i="1"/>
  <c r="O1145" i="1"/>
  <c r="O1143" i="1"/>
  <c r="O1142" i="1"/>
  <c r="O1141" i="1"/>
  <c r="O1140" i="1"/>
  <c r="O1139" i="1"/>
  <c r="O1138" i="1"/>
  <c r="O1136" i="1"/>
  <c r="O1135" i="1"/>
  <c r="O1133" i="1"/>
  <c r="O1132" i="1"/>
  <c r="O1131" i="1"/>
  <c r="O1130" i="1"/>
  <c r="O1129" i="1"/>
  <c r="O1128" i="1"/>
  <c r="O1126" i="1"/>
  <c r="O1124" i="1"/>
  <c r="O1120" i="1"/>
  <c r="O1119" i="1"/>
  <c r="O1117" i="1"/>
  <c r="O1116" i="1"/>
  <c r="O1113" i="1"/>
  <c r="O1112" i="1"/>
  <c r="O1110" i="1"/>
  <c r="O1109" i="1"/>
  <c r="O1106" i="1"/>
  <c r="O1103" i="1"/>
  <c r="O1102" i="1"/>
  <c r="O1100" i="1"/>
  <c r="O1096" i="1"/>
  <c r="O1094" i="1"/>
  <c r="O1093" i="1"/>
  <c r="O1092" i="1"/>
  <c r="O1090" i="1"/>
  <c r="O1088" i="1"/>
  <c r="O1087" i="1"/>
  <c r="O1086" i="1"/>
  <c r="O1084" i="1"/>
  <c r="O1083" i="1"/>
  <c r="O1082" i="1"/>
  <c r="O1081" i="1"/>
  <c r="O1078" i="1"/>
  <c r="O1077" i="1"/>
  <c r="O1073" i="1"/>
  <c r="O1071" i="1"/>
  <c r="O1067" i="1"/>
  <c r="O1066" i="1"/>
  <c r="O1065" i="1"/>
  <c r="O1063" i="1"/>
  <c r="O1062" i="1"/>
  <c r="O1061" i="1"/>
  <c r="O1059" i="1"/>
  <c r="O1058" i="1"/>
  <c r="O1055" i="1"/>
  <c r="O1054" i="1"/>
  <c r="O1049" i="1"/>
  <c r="O1048" i="1"/>
  <c r="O1047" i="1"/>
  <c r="O1044" i="1"/>
  <c r="O1043" i="1"/>
  <c r="O1042" i="1"/>
  <c r="O1041" i="1"/>
  <c r="O1040" i="1"/>
  <c r="O1039" i="1"/>
  <c r="O1037" i="1"/>
  <c r="O1036" i="1"/>
  <c r="O1035" i="1"/>
  <c r="O1033" i="1"/>
  <c r="O1032" i="1"/>
  <c r="O1031" i="1"/>
  <c r="O1030" i="1"/>
  <c r="O1024" i="1"/>
  <c r="O1023" i="1"/>
  <c r="O1022" i="1"/>
  <c r="O1020" i="1"/>
  <c r="O1019" i="1"/>
  <c r="O1018" i="1"/>
  <c r="O1017" i="1"/>
  <c r="O1016" i="1"/>
  <c r="O1015" i="1"/>
  <c r="O1013" i="1"/>
  <c r="O1012" i="1"/>
  <c r="O1009" i="1"/>
  <c r="O1007" i="1"/>
  <c r="O1004" i="1"/>
  <c r="O1002" i="1"/>
  <c r="O1000" i="1"/>
  <c r="O998" i="1"/>
  <c r="O996" i="1"/>
  <c r="O995" i="1"/>
  <c r="O994" i="1"/>
  <c r="O993" i="1"/>
  <c r="O992" i="1"/>
  <c r="O991" i="1"/>
  <c r="O990" i="1"/>
  <c r="O989" i="1"/>
  <c r="O988" i="1"/>
  <c r="O986" i="1"/>
  <c r="O985" i="1"/>
  <c r="O983" i="1"/>
  <c r="O981" i="1"/>
  <c r="O980" i="1"/>
  <c r="O978" i="1"/>
  <c r="O976" i="1"/>
  <c r="O974" i="1"/>
  <c r="O973" i="1"/>
  <c r="O971" i="1"/>
  <c r="O970" i="1"/>
  <c r="O969" i="1"/>
  <c r="O967" i="1"/>
  <c r="O965" i="1"/>
  <c r="O962" i="1"/>
  <c r="O960" i="1"/>
  <c r="O959" i="1"/>
  <c r="O957" i="1"/>
  <c r="O949" i="1"/>
  <c r="O948" i="1"/>
  <c r="O947" i="1"/>
  <c r="O946" i="1"/>
  <c r="O945" i="1"/>
  <c r="O943" i="1"/>
  <c r="O942" i="1"/>
  <c r="O941" i="1"/>
  <c r="O939" i="1"/>
  <c r="O937" i="1"/>
  <c r="O936" i="1"/>
  <c r="O934" i="1"/>
  <c r="O933" i="1"/>
  <c r="O929" i="1"/>
  <c r="O928" i="1"/>
  <c r="O926" i="1"/>
  <c r="O922" i="1"/>
  <c r="O919" i="1"/>
  <c r="O916" i="1"/>
  <c r="O915" i="1"/>
  <c r="O913" i="1"/>
  <c r="O912" i="1"/>
  <c r="O910" i="1"/>
  <c r="O909" i="1"/>
  <c r="O908" i="1"/>
  <c r="O907" i="1"/>
  <c r="O906" i="1"/>
  <c r="O904" i="1"/>
  <c r="O903" i="1"/>
  <c r="O901" i="1"/>
  <c r="O899" i="1"/>
  <c r="O898" i="1"/>
  <c r="O897" i="1"/>
  <c r="O896" i="1"/>
  <c r="O895" i="1"/>
  <c r="O892" i="1"/>
  <c r="O891" i="1"/>
  <c r="O890" i="1"/>
  <c r="O889" i="1"/>
  <c r="O888" i="1"/>
  <c r="O887" i="1"/>
  <c r="O884" i="1"/>
  <c r="O883" i="1"/>
  <c r="O882" i="1"/>
  <c r="O881" i="1"/>
  <c r="O880" i="1"/>
  <c r="O878" i="1"/>
  <c r="O877" i="1"/>
  <c r="O875" i="1"/>
  <c r="O874" i="1"/>
  <c r="O873" i="1"/>
  <c r="O872" i="1"/>
  <c r="O871" i="1"/>
  <c r="O870" i="1"/>
  <c r="O868" i="1"/>
  <c r="O865" i="1"/>
  <c r="O864" i="1"/>
  <c r="O863" i="1"/>
  <c r="O862" i="1"/>
  <c r="O861" i="1"/>
  <c r="O860" i="1"/>
  <c r="O858" i="1"/>
  <c r="O857" i="1"/>
  <c r="O856" i="1"/>
  <c r="O854" i="1"/>
  <c r="O851" i="1"/>
  <c r="O849" i="1"/>
  <c r="O847" i="1"/>
  <c r="O846" i="1"/>
  <c r="O844" i="1"/>
  <c r="O841" i="1"/>
  <c r="O837" i="1"/>
  <c r="O835" i="1"/>
  <c r="O834" i="1"/>
  <c r="O833" i="1"/>
  <c r="O832" i="1"/>
  <c r="O827" i="1"/>
  <c r="O824" i="1"/>
  <c r="O823" i="1"/>
  <c r="O822" i="1"/>
  <c r="O821" i="1"/>
  <c r="O815" i="1"/>
  <c r="O814" i="1"/>
  <c r="O813" i="1"/>
  <c r="O812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7" i="1"/>
  <c r="O794" i="1"/>
  <c r="O793" i="1"/>
  <c r="O791" i="1"/>
  <c r="O790" i="1"/>
  <c r="O789" i="1"/>
  <c r="O787" i="1"/>
  <c r="O786" i="1"/>
  <c r="O785" i="1"/>
  <c r="O782" i="1"/>
  <c r="O781" i="1"/>
  <c r="O780" i="1"/>
  <c r="O776" i="1"/>
  <c r="O774" i="1"/>
  <c r="O773" i="1"/>
  <c r="O769" i="1"/>
  <c r="O767" i="1"/>
  <c r="O766" i="1"/>
  <c r="O765" i="1"/>
  <c r="O764" i="1"/>
  <c r="O763" i="1"/>
  <c r="O762" i="1"/>
  <c r="O761" i="1"/>
  <c r="O756" i="1"/>
  <c r="O755" i="1"/>
  <c r="O754" i="1"/>
  <c r="O753" i="1"/>
  <c r="O752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4" i="1"/>
  <c r="O733" i="1"/>
  <c r="O731" i="1"/>
  <c r="O729" i="1"/>
  <c r="O727" i="1"/>
  <c r="O726" i="1"/>
  <c r="O724" i="1"/>
  <c r="O723" i="1"/>
  <c r="O722" i="1"/>
  <c r="O720" i="1"/>
  <c r="O719" i="1"/>
  <c r="O716" i="1"/>
  <c r="O714" i="1"/>
  <c r="O712" i="1"/>
  <c r="O709" i="1"/>
  <c r="O708" i="1"/>
  <c r="O707" i="1"/>
  <c r="O706" i="1"/>
  <c r="O705" i="1"/>
  <c r="O704" i="1"/>
  <c r="O701" i="1"/>
  <c r="O700" i="1"/>
  <c r="O699" i="1"/>
  <c r="O696" i="1"/>
  <c r="O690" i="1"/>
  <c r="O687" i="1"/>
  <c r="O686" i="1"/>
  <c r="O685" i="1"/>
  <c r="O684" i="1"/>
  <c r="O683" i="1"/>
  <c r="O681" i="1"/>
  <c r="O680" i="1"/>
  <c r="O679" i="1"/>
  <c r="O678" i="1"/>
  <c r="O677" i="1"/>
  <c r="O676" i="1"/>
  <c r="O675" i="1"/>
  <c r="O672" i="1"/>
  <c r="O669" i="1"/>
  <c r="O668" i="1"/>
  <c r="O666" i="1"/>
  <c r="O665" i="1"/>
  <c r="O663" i="1"/>
  <c r="O660" i="1"/>
  <c r="O659" i="1"/>
  <c r="O658" i="1"/>
  <c r="O656" i="1"/>
  <c r="O654" i="1"/>
  <c r="O652" i="1"/>
  <c r="O650" i="1"/>
  <c r="O649" i="1"/>
  <c r="O647" i="1"/>
  <c r="O646" i="1"/>
  <c r="O645" i="1"/>
  <c r="O644" i="1"/>
  <c r="O642" i="1"/>
  <c r="O639" i="1"/>
  <c r="O638" i="1"/>
  <c r="O635" i="1"/>
  <c r="O633" i="1"/>
  <c r="O632" i="1"/>
  <c r="O630" i="1"/>
  <c r="O628" i="1"/>
  <c r="O626" i="1"/>
  <c r="O624" i="1"/>
  <c r="O623" i="1"/>
  <c r="O622" i="1"/>
  <c r="O620" i="1"/>
  <c r="O618" i="1"/>
  <c r="O617" i="1"/>
  <c r="O616" i="1"/>
  <c r="O615" i="1"/>
  <c r="O614" i="1"/>
  <c r="O611" i="1"/>
  <c r="O610" i="1"/>
  <c r="O609" i="1"/>
  <c r="O608" i="1"/>
  <c r="O605" i="1"/>
  <c r="O604" i="1"/>
  <c r="O603" i="1"/>
  <c r="O602" i="1"/>
  <c r="O601" i="1"/>
  <c r="O597" i="1"/>
  <c r="O594" i="1"/>
  <c r="O593" i="1"/>
  <c r="O592" i="1"/>
  <c r="O589" i="1"/>
  <c r="O586" i="1"/>
  <c r="O584" i="1"/>
  <c r="O582" i="1"/>
  <c r="O581" i="1"/>
  <c r="O580" i="1"/>
  <c r="O579" i="1"/>
  <c r="O577" i="1"/>
  <c r="O576" i="1"/>
  <c r="O575" i="1"/>
  <c r="O572" i="1"/>
  <c r="O571" i="1"/>
  <c r="O569" i="1"/>
  <c r="O567" i="1"/>
  <c r="O564" i="1"/>
  <c r="O563" i="1"/>
  <c r="O561" i="1"/>
  <c r="O560" i="1"/>
  <c r="O558" i="1"/>
  <c r="O555" i="1"/>
  <c r="O553" i="1"/>
  <c r="O548" i="1"/>
  <c r="O547" i="1"/>
  <c r="O545" i="1"/>
  <c r="O544" i="1"/>
  <c r="O543" i="1"/>
  <c r="O540" i="1"/>
  <c r="O539" i="1"/>
  <c r="O536" i="1"/>
  <c r="O535" i="1"/>
  <c r="O534" i="1"/>
  <c r="O532" i="1"/>
  <c r="O530" i="1"/>
  <c r="O529" i="1"/>
  <c r="O527" i="1"/>
  <c r="O525" i="1"/>
  <c r="O524" i="1"/>
  <c r="O523" i="1"/>
  <c r="O521" i="1"/>
  <c r="O520" i="1"/>
  <c r="O519" i="1"/>
  <c r="O517" i="1"/>
  <c r="O516" i="1"/>
  <c r="O512" i="1"/>
  <c r="O511" i="1"/>
  <c r="O506" i="1"/>
  <c r="O505" i="1"/>
  <c r="O501" i="1"/>
  <c r="O499" i="1"/>
  <c r="O496" i="1"/>
  <c r="O494" i="1"/>
  <c r="O493" i="1"/>
  <c r="O491" i="1"/>
  <c r="O490" i="1"/>
  <c r="O489" i="1"/>
  <c r="O488" i="1"/>
  <c r="O485" i="1"/>
  <c r="O483" i="1"/>
  <c r="O480" i="1"/>
  <c r="O479" i="1"/>
  <c r="O478" i="1"/>
  <c r="O477" i="1"/>
  <c r="O476" i="1"/>
  <c r="O475" i="1"/>
  <c r="O472" i="1"/>
  <c r="O467" i="1"/>
  <c r="O465" i="1"/>
  <c r="O464" i="1"/>
  <c r="O462" i="1"/>
  <c r="O461" i="1"/>
  <c r="O459" i="1"/>
  <c r="O458" i="1"/>
  <c r="O455" i="1"/>
  <c r="O454" i="1"/>
  <c r="O452" i="1"/>
  <c r="O450" i="1"/>
  <c r="O449" i="1"/>
  <c r="O448" i="1"/>
  <c r="O446" i="1"/>
  <c r="O445" i="1"/>
  <c r="O443" i="1"/>
  <c r="O442" i="1"/>
  <c r="O441" i="1"/>
  <c r="O440" i="1"/>
  <c r="O439" i="1"/>
  <c r="O438" i="1"/>
  <c r="O437" i="1"/>
  <c r="O435" i="1"/>
  <c r="O433" i="1"/>
  <c r="O432" i="1"/>
  <c r="O431" i="1"/>
  <c r="O428" i="1"/>
  <c r="O427" i="1"/>
  <c r="O426" i="1"/>
  <c r="O424" i="1"/>
  <c r="O422" i="1"/>
  <c r="O421" i="1"/>
  <c r="O419" i="1"/>
  <c r="O418" i="1"/>
  <c r="O417" i="1"/>
  <c r="O416" i="1"/>
  <c r="O415" i="1"/>
  <c r="O414" i="1"/>
  <c r="O413" i="1"/>
  <c r="O411" i="1"/>
  <c r="O408" i="1"/>
  <c r="O407" i="1"/>
  <c r="O406" i="1"/>
  <c r="O403" i="1"/>
  <c r="O402" i="1"/>
  <c r="O401" i="1"/>
  <c r="O399" i="1"/>
  <c r="O397" i="1"/>
  <c r="O396" i="1"/>
  <c r="O395" i="1"/>
  <c r="O394" i="1"/>
  <c r="O393" i="1"/>
  <c r="O391" i="1"/>
  <c r="O390" i="1"/>
  <c r="O389" i="1"/>
  <c r="O388" i="1"/>
  <c r="O387" i="1"/>
  <c r="O385" i="1"/>
  <c r="O382" i="1"/>
  <c r="O381" i="1"/>
  <c r="O379" i="1"/>
  <c r="O377" i="1"/>
  <c r="O375" i="1"/>
  <c r="O372" i="1"/>
  <c r="O371" i="1"/>
  <c r="O370" i="1"/>
  <c r="O367" i="1"/>
  <c r="O366" i="1"/>
  <c r="O362" i="1"/>
  <c r="O360" i="1"/>
  <c r="O359" i="1"/>
  <c r="O358" i="1"/>
  <c r="O357" i="1"/>
  <c r="O354" i="1"/>
  <c r="O353" i="1"/>
  <c r="O351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2" i="1"/>
  <c r="O331" i="1"/>
  <c r="O330" i="1"/>
  <c r="O329" i="1"/>
  <c r="O327" i="1"/>
  <c r="O324" i="1"/>
  <c r="O323" i="1"/>
  <c r="O321" i="1"/>
  <c r="O319" i="1"/>
  <c r="O316" i="1"/>
  <c r="O315" i="1"/>
  <c r="O314" i="1"/>
  <c r="O311" i="1"/>
  <c r="O310" i="1"/>
  <c r="O309" i="1"/>
  <c r="O306" i="1"/>
  <c r="O305" i="1"/>
  <c r="O304" i="1"/>
  <c r="O303" i="1"/>
  <c r="O300" i="1"/>
  <c r="O298" i="1"/>
  <c r="O297" i="1"/>
  <c r="O295" i="1"/>
  <c r="O292" i="1"/>
  <c r="O289" i="1"/>
  <c r="O288" i="1"/>
  <c r="O287" i="1"/>
  <c r="O284" i="1"/>
  <c r="O283" i="1"/>
  <c r="O278" i="1"/>
  <c r="O277" i="1"/>
  <c r="O275" i="1"/>
  <c r="O271" i="1"/>
  <c r="O269" i="1"/>
  <c r="O268" i="1"/>
  <c r="O267" i="1"/>
  <c r="O264" i="1"/>
  <c r="O263" i="1"/>
  <c r="O258" i="1"/>
  <c r="O257" i="1"/>
  <c r="O256" i="1"/>
  <c r="O254" i="1"/>
  <c r="O253" i="1"/>
  <c r="O252" i="1"/>
  <c r="O251" i="1"/>
  <c r="O250" i="1"/>
  <c r="O249" i="1"/>
  <c r="O248" i="1"/>
  <c r="O247" i="1"/>
  <c r="O245" i="1"/>
  <c r="O241" i="1"/>
  <c r="O240" i="1"/>
  <c r="O239" i="1"/>
  <c r="O238" i="1"/>
  <c r="O237" i="1"/>
  <c r="O232" i="1"/>
  <c r="O230" i="1"/>
  <c r="O228" i="1"/>
  <c r="O227" i="1"/>
  <c r="O226" i="1"/>
  <c r="O225" i="1"/>
  <c r="O224" i="1"/>
  <c r="O223" i="1"/>
  <c r="O222" i="1"/>
  <c r="O221" i="1"/>
  <c r="O220" i="1"/>
  <c r="O218" i="1"/>
  <c r="O217" i="1"/>
  <c r="O216" i="1"/>
  <c r="O213" i="1"/>
  <c r="O210" i="1"/>
  <c r="O208" i="1"/>
  <c r="O207" i="1"/>
  <c r="O205" i="1"/>
  <c r="O204" i="1"/>
  <c r="O203" i="1"/>
  <c r="O201" i="1"/>
  <c r="O200" i="1"/>
  <c r="O199" i="1"/>
  <c r="O198" i="1"/>
  <c r="O195" i="1"/>
  <c r="O194" i="1"/>
  <c r="O193" i="1"/>
  <c r="O192" i="1"/>
  <c r="O191" i="1"/>
  <c r="O190" i="1"/>
  <c r="O189" i="1"/>
  <c r="O188" i="1"/>
  <c r="O187" i="1"/>
  <c r="O185" i="1"/>
  <c r="O184" i="1"/>
  <c r="O183" i="1"/>
  <c r="O182" i="1"/>
  <c r="O180" i="1"/>
  <c r="O175" i="1"/>
  <c r="O172" i="1"/>
  <c r="O171" i="1"/>
  <c r="O170" i="1"/>
  <c r="O168" i="1"/>
  <c r="O166" i="1"/>
  <c r="O165" i="1"/>
  <c r="O162" i="1"/>
  <c r="O161" i="1"/>
  <c r="O157" i="1"/>
  <c r="O156" i="1"/>
  <c r="O154" i="1"/>
  <c r="O153" i="1"/>
  <c r="O152" i="1"/>
  <c r="O151" i="1"/>
  <c r="O150" i="1"/>
  <c r="O149" i="1"/>
  <c r="O148" i="1"/>
  <c r="O146" i="1"/>
  <c r="O143" i="1"/>
  <c r="O142" i="1"/>
  <c r="O141" i="1"/>
  <c r="O139" i="1"/>
  <c r="O135" i="1"/>
  <c r="O134" i="1"/>
  <c r="O130" i="1"/>
  <c r="O129" i="1"/>
  <c r="O127" i="1"/>
  <c r="O124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6" i="1"/>
  <c r="O104" i="1"/>
  <c r="O101" i="1"/>
  <c r="O100" i="1"/>
  <c r="O99" i="1"/>
  <c r="O98" i="1"/>
  <c r="O95" i="1"/>
  <c r="O94" i="1"/>
  <c r="O93" i="1"/>
  <c r="O90" i="1"/>
  <c r="O89" i="1"/>
  <c r="O88" i="1"/>
  <c r="O87" i="1"/>
  <c r="O84" i="1"/>
  <c r="O82" i="1"/>
  <c r="O81" i="1"/>
  <c r="O80" i="1"/>
  <c r="O79" i="1"/>
  <c r="O78" i="1"/>
  <c r="O76" i="1"/>
  <c r="O74" i="1"/>
  <c r="O73" i="1"/>
  <c r="O72" i="1"/>
  <c r="O71" i="1"/>
  <c r="O70" i="1"/>
  <c r="O69" i="1"/>
  <c r="O68" i="1"/>
  <c r="O67" i="1"/>
  <c r="O66" i="1"/>
  <c r="O64" i="1"/>
  <c r="O63" i="1"/>
  <c r="O62" i="1"/>
  <c r="O59" i="1"/>
  <c r="O58" i="1"/>
  <c r="O57" i="1"/>
  <c r="O56" i="1"/>
  <c r="O54" i="1"/>
  <c r="O53" i="1"/>
  <c r="O52" i="1"/>
  <c r="O51" i="1"/>
  <c r="O49" i="1"/>
  <c r="O48" i="1"/>
  <c r="O47" i="1"/>
  <c r="O46" i="1"/>
  <c r="O45" i="1"/>
  <c r="O43" i="1"/>
  <c r="O42" i="1"/>
  <c r="O41" i="1"/>
  <c r="O37" i="1"/>
  <c r="O34" i="1"/>
  <c r="O33" i="1"/>
  <c r="O30" i="1"/>
  <c r="O23" i="1"/>
  <c r="O22" i="1"/>
  <c r="O20" i="1"/>
  <c r="O19" i="1"/>
  <c r="O18" i="1"/>
  <c r="O16" i="1"/>
  <c r="O13" i="1"/>
  <c r="O12" i="1"/>
  <c r="O9" i="1"/>
  <c r="O8" i="1"/>
  <c r="O6" i="1"/>
  <c r="O4" i="1"/>
  <c r="O2" i="1"/>
  <c r="T2" i="1"/>
  <c r="K1200" i="1"/>
  <c r="K1199" i="1"/>
  <c r="K1197" i="1"/>
  <c r="K1193" i="1"/>
  <c r="K1192" i="1"/>
  <c r="K1186" i="1"/>
  <c r="K1184" i="1"/>
  <c r="K1183" i="1"/>
  <c r="K1182" i="1"/>
  <c r="K1179" i="1"/>
  <c r="K1178" i="1"/>
  <c r="K1177" i="1"/>
  <c r="K1175" i="1"/>
  <c r="K1174" i="1"/>
  <c r="K1173" i="1"/>
  <c r="K1171" i="1"/>
  <c r="K1169" i="1"/>
  <c r="K1168" i="1"/>
  <c r="K1167" i="1"/>
  <c r="K1165" i="1"/>
  <c r="K1164" i="1"/>
  <c r="K1161" i="1"/>
  <c r="K1160" i="1"/>
  <c r="K1159" i="1"/>
  <c r="K1157" i="1"/>
  <c r="K1156" i="1"/>
  <c r="K1154" i="1"/>
  <c r="K1153" i="1"/>
  <c r="K1152" i="1"/>
  <c r="K1151" i="1"/>
  <c r="K1150" i="1"/>
  <c r="K1149" i="1"/>
  <c r="K1148" i="1"/>
  <c r="K1146" i="1"/>
  <c r="K1145" i="1"/>
  <c r="K1143" i="1"/>
  <c r="K1142" i="1"/>
  <c r="K1141" i="1"/>
  <c r="K1140" i="1"/>
  <c r="K1139" i="1"/>
  <c r="K1138" i="1"/>
  <c r="K1136" i="1"/>
  <c r="K1135" i="1"/>
  <c r="K1133" i="1"/>
  <c r="K1132" i="1"/>
  <c r="K1131" i="1"/>
  <c r="K1130" i="1"/>
  <c r="K1129" i="1"/>
  <c r="K1128" i="1"/>
  <c r="K1126" i="1"/>
  <c r="K1124" i="1"/>
  <c r="K1120" i="1"/>
  <c r="K1119" i="1"/>
  <c r="K1117" i="1"/>
  <c r="K1116" i="1"/>
  <c r="K1113" i="1"/>
  <c r="K1112" i="1"/>
  <c r="K1110" i="1"/>
  <c r="K1109" i="1"/>
  <c r="K1106" i="1"/>
  <c r="K1103" i="1"/>
  <c r="K1102" i="1"/>
  <c r="K1100" i="1"/>
  <c r="K1096" i="1"/>
  <c r="K1094" i="1"/>
  <c r="K1093" i="1"/>
  <c r="K1092" i="1"/>
  <c r="K1090" i="1"/>
  <c r="K1088" i="1"/>
  <c r="K1087" i="1"/>
  <c r="K1086" i="1"/>
  <c r="K1084" i="1"/>
  <c r="K1083" i="1"/>
  <c r="K1082" i="1"/>
  <c r="K1081" i="1"/>
  <c r="K1078" i="1"/>
  <c r="K1077" i="1"/>
  <c r="K1073" i="1"/>
  <c r="K1071" i="1"/>
  <c r="K1067" i="1"/>
  <c r="K1066" i="1"/>
  <c r="K1065" i="1"/>
  <c r="K1063" i="1"/>
  <c r="K1062" i="1"/>
  <c r="K1061" i="1"/>
  <c r="K1059" i="1"/>
  <c r="K1058" i="1"/>
  <c r="K1055" i="1"/>
  <c r="K1054" i="1"/>
  <c r="K1049" i="1"/>
  <c r="K1048" i="1"/>
  <c r="K1047" i="1"/>
  <c r="K1044" i="1"/>
  <c r="K1043" i="1"/>
  <c r="K1042" i="1"/>
  <c r="K1041" i="1"/>
  <c r="K1040" i="1"/>
  <c r="K1039" i="1"/>
  <c r="K1037" i="1"/>
  <c r="K1036" i="1"/>
  <c r="K1035" i="1"/>
  <c r="K1033" i="1"/>
  <c r="K1032" i="1"/>
  <c r="K1031" i="1"/>
  <c r="K1030" i="1"/>
  <c r="K1024" i="1"/>
  <c r="K1023" i="1"/>
  <c r="K1022" i="1"/>
  <c r="K1020" i="1"/>
  <c r="K1019" i="1"/>
  <c r="K1018" i="1"/>
  <c r="K1017" i="1"/>
  <c r="K1016" i="1"/>
  <c r="K1015" i="1"/>
  <c r="K1013" i="1"/>
  <c r="K1012" i="1"/>
  <c r="K1009" i="1"/>
  <c r="K1007" i="1"/>
  <c r="K1004" i="1"/>
  <c r="K1002" i="1"/>
  <c r="K1000" i="1"/>
  <c r="K998" i="1"/>
  <c r="K996" i="1"/>
  <c r="K995" i="1"/>
  <c r="K994" i="1"/>
  <c r="K993" i="1"/>
  <c r="K992" i="1"/>
  <c r="K991" i="1"/>
  <c r="K990" i="1"/>
  <c r="K989" i="1"/>
  <c r="K988" i="1"/>
  <c r="K986" i="1"/>
  <c r="K985" i="1"/>
  <c r="K983" i="1"/>
  <c r="K981" i="1"/>
  <c r="K980" i="1"/>
  <c r="K978" i="1"/>
  <c r="K976" i="1"/>
  <c r="K974" i="1"/>
  <c r="K973" i="1"/>
  <c r="K971" i="1"/>
  <c r="K970" i="1"/>
  <c r="K969" i="1"/>
  <c r="K967" i="1"/>
  <c r="K965" i="1"/>
  <c r="K962" i="1"/>
  <c r="K960" i="1"/>
  <c r="K959" i="1"/>
  <c r="K957" i="1"/>
  <c r="K949" i="1"/>
  <c r="K948" i="1"/>
  <c r="K947" i="1"/>
  <c r="K946" i="1"/>
  <c r="K945" i="1"/>
  <c r="K943" i="1"/>
  <c r="K942" i="1"/>
  <c r="K941" i="1"/>
  <c r="K939" i="1"/>
  <c r="K937" i="1"/>
  <c r="K936" i="1"/>
  <c r="K934" i="1"/>
  <c r="K933" i="1"/>
  <c r="K929" i="1"/>
  <c r="K928" i="1"/>
  <c r="K926" i="1"/>
  <c r="K922" i="1"/>
  <c r="K919" i="1"/>
  <c r="K916" i="1"/>
  <c r="K915" i="1"/>
  <c r="K913" i="1"/>
  <c r="K912" i="1"/>
  <c r="K910" i="1"/>
  <c r="K909" i="1"/>
  <c r="K908" i="1"/>
  <c r="K907" i="1"/>
  <c r="K906" i="1"/>
  <c r="K904" i="1"/>
  <c r="K903" i="1"/>
  <c r="K901" i="1"/>
  <c r="K899" i="1"/>
  <c r="K898" i="1"/>
  <c r="K897" i="1"/>
  <c r="K896" i="1"/>
  <c r="K895" i="1"/>
  <c r="K892" i="1"/>
  <c r="K891" i="1"/>
  <c r="K890" i="1"/>
  <c r="K889" i="1"/>
  <c r="K888" i="1"/>
  <c r="K887" i="1"/>
  <c r="K884" i="1"/>
  <c r="K883" i="1"/>
  <c r="K882" i="1"/>
  <c r="K881" i="1"/>
  <c r="K880" i="1"/>
  <c r="K878" i="1"/>
  <c r="K877" i="1"/>
  <c r="K875" i="1"/>
  <c r="K874" i="1"/>
  <c r="K873" i="1"/>
  <c r="K872" i="1"/>
  <c r="K871" i="1"/>
  <c r="K870" i="1"/>
  <c r="K868" i="1"/>
  <c r="K865" i="1"/>
  <c r="K864" i="1"/>
  <c r="K863" i="1"/>
  <c r="K862" i="1"/>
  <c r="K861" i="1"/>
  <c r="K860" i="1"/>
  <c r="K858" i="1"/>
  <c r="K857" i="1"/>
  <c r="K856" i="1"/>
  <c r="K854" i="1"/>
  <c r="K851" i="1"/>
  <c r="K849" i="1"/>
  <c r="K847" i="1"/>
  <c r="K846" i="1"/>
  <c r="K844" i="1"/>
  <c r="K841" i="1"/>
  <c r="K837" i="1"/>
  <c r="K835" i="1"/>
  <c r="K834" i="1"/>
  <c r="K833" i="1"/>
  <c r="K832" i="1"/>
  <c r="K827" i="1"/>
  <c r="K824" i="1"/>
  <c r="K823" i="1"/>
  <c r="K822" i="1"/>
  <c r="K821" i="1"/>
  <c r="K815" i="1"/>
  <c r="K814" i="1"/>
  <c r="K813" i="1"/>
  <c r="K812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7" i="1"/>
  <c r="K794" i="1"/>
  <c r="K793" i="1"/>
  <c r="K791" i="1"/>
  <c r="K790" i="1"/>
  <c r="K789" i="1"/>
  <c r="K787" i="1"/>
  <c r="K786" i="1"/>
  <c r="K785" i="1"/>
  <c r="K782" i="1"/>
  <c r="K781" i="1"/>
  <c r="K780" i="1"/>
  <c r="K776" i="1"/>
  <c r="K774" i="1"/>
  <c r="K773" i="1"/>
  <c r="K769" i="1"/>
  <c r="K767" i="1"/>
  <c r="K766" i="1"/>
  <c r="K765" i="1"/>
  <c r="K764" i="1"/>
  <c r="K763" i="1"/>
  <c r="K762" i="1"/>
  <c r="K761" i="1"/>
  <c r="K756" i="1"/>
  <c r="K755" i="1"/>
  <c r="K754" i="1"/>
  <c r="K753" i="1"/>
  <c r="K752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4" i="1"/>
  <c r="K733" i="1"/>
  <c r="K731" i="1"/>
  <c r="K729" i="1"/>
  <c r="K727" i="1"/>
  <c r="K726" i="1"/>
  <c r="K724" i="1"/>
  <c r="K723" i="1"/>
  <c r="K722" i="1"/>
  <c r="K720" i="1"/>
  <c r="K719" i="1"/>
  <c r="K716" i="1"/>
  <c r="K714" i="1"/>
  <c r="K712" i="1"/>
  <c r="K709" i="1"/>
  <c r="K708" i="1"/>
  <c r="K707" i="1"/>
  <c r="K706" i="1"/>
  <c r="K705" i="1"/>
  <c r="K704" i="1"/>
  <c r="K701" i="1"/>
  <c r="K700" i="1"/>
  <c r="K699" i="1"/>
  <c r="K696" i="1"/>
  <c r="K690" i="1"/>
  <c r="K687" i="1"/>
  <c r="K686" i="1"/>
  <c r="K685" i="1"/>
  <c r="K684" i="1"/>
  <c r="K683" i="1"/>
  <c r="K681" i="1"/>
  <c r="K680" i="1"/>
  <c r="K679" i="1"/>
  <c r="K678" i="1"/>
  <c r="K677" i="1"/>
  <c r="K676" i="1"/>
  <c r="K675" i="1"/>
  <c r="K672" i="1"/>
  <c r="K669" i="1"/>
  <c r="K668" i="1"/>
  <c r="K666" i="1"/>
  <c r="K665" i="1"/>
  <c r="K663" i="1"/>
  <c r="K660" i="1"/>
  <c r="K659" i="1"/>
  <c r="K658" i="1"/>
  <c r="K656" i="1"/>
  <c r="K654" i="1"/>
  <c r="K652" i="1"/>
  <c r="K650" i="1"/>
  <c r="K649" i="1"/>
  <c r="K647" i="1"/>
  <c r="K646" i="1"/>
  <c r="K645" i="1"/>
  <c r="K644" i="1"/>
  <c r="K642" i="1"/>
  <c r="K639" i="1"/>
  <c r="K638" i="1"/>
  <c r="K635" i="1"/>
  <c r="K633" i="1"/>
  <c r="K632" i="1"/>
  <c r="K630" i="1"/>
  <c r="K628" i="1"/>
  <c r="K626" i="1"/>
  <c r="K624" i="1"/>
  <c r="K623" i="1"/>
  <c r="K622" i="1"/>
  <c r="K620" i="1"/>
  <c r="K618" i="1"/>
  <c r="K617" i="1"/>
  <c r="K616" i="1"/>
  <c r="K615" i="1"/>
  <c r="K614" i="1"/>
  <c r="K611" i="1"/>
  <c r="K610" i="1"/>
  <c r="K609" i="1"/>
  <c r="K608" i="1"/>
  <c r="K605" i="1"/>
  <c r="K604" i="1"/>
  <c r="K603" i="1"/>
  <c r="K602" i="1"/>
  <c r="K601" i="1"/>
  <c r="K597" i="1"/>
  <c r="K594" i="1"/>
  <c r="K593" i="1"/>
  <c r="K592" i="1"/>
  <c r="K589" i="1"/>
  <c r="K586" i="1"/>
  <c r="K584" i="1"/>
  <c r="K582" i="1"/>
  <c r="K581" i="1"/>
  <c r="K580" i="1"/>
  <c r="K579" i="1"/>
  <c r="K577" i="1"/>
  <c r="K576" i="1"/>
  <c r="K575" i="1"/>
  <c r="K572" i="1"/>
  <c r="K571" i="1"/>
  <c r="K569" i="1"/>
  <c r="K567" i="1"/>
  <c r="K564" i="1"/>
  <c r="K563" i="1"/>
  <c r="K561" i="1"/>
  <c r="K560" i="1"/>
  <c r="K558" i="1"/>
  <c r="K555" i="1"/>
  <c r="K553" i="1"/>
  <c r="K548" i="1"/>
  <c r="K547" i="1"/>
  <c r="K545" i="1"/>
  <c r="K544" i="1"/>
  <c r="K543" i="1"/>
  <c r="K540" i="1"/>
  <c r="K539" i="1"/>
  <c r="K536" i="1"/>
  <c r="K535" i="1"/>
  <c r="K534" i="1"/>
  <c r="K532" i="1"/>
  <c r="K530" i="1"/>
  <c r="K529" i="1"/>
  <c r="K527" i="1"/>
  <c r="K525" i="1"/>
  <c r="K524" i="1"/>
  <c r="K523" i="1"/>
  <c r="K521" i="1"/>
  <c r="K520" i="1"/>
  <c r="K519" i="1"/>
  <c r="K517" i="1"/>
  <c r="K516" i="1"/>
  <c r="K512" i="1"/>
  <c r="K511" i="1"/>
  <c r="K506" i="1"/>
  <c r="K505" i="1"/>
  <c r="K501" i="1"/>
  <c r="K499" i="1"/>
  <c r="K496" i="1"/>
  <c r="K494" i="1"/>
  <c r="K493" i="1"/>
  <c r="K491" i="1"/>
  <c r="K490" i="1"/>
  <c r="K489" i="1"/>
  <c r="K488" i="1"/>
  <c r="K485" i="1"/>
  <c r="K483" i="1"/>
  <c r="K480" i="1"/>
  <c r="K479" i="1"/>
  <c r="K478" i="1"/>
  <c r="K477" i="1"/>
  <c r="K476" i="1"/>
  <c r="K475" i="1"/>
  <c r="K472" i="1"/>
  <c r="K467" i="1"/>
  <c r="K465" i="1"/>
  <c r="K464" i="1"/>
  <c r="K462" i="1"/>
  <c r="K461" i="1"/>
  <c r="K459" i="1"/>
  <c r="K458" i="1"/>
  <c r="K455" i="1"/>
  <c r="K454" i="1"/>
  <c r="K452" i="1"/>
  <c r="K450" i="1"/>
  <c r="K449" i="1"/>
  <c r="K448" i="1"/>
  <c r="K446" i="1"/>
  <c r="K445" i="1"/>
  <c r="K443" i="1"/>
  <c r="K442" i="1"/>
  <c r="K441" i="1"/>
  <c r="K440" i="1"/>
  <c r="K439" i="1"/>
  <c r="K438" i="1"/>
  <c r="K437" i="1"/>
  <c r="K435" i="1"/>
  <c r="K433" i="1"/>
  <c r="K432" i="1"/>
  <c r="K431" i="1"/>
  <c r="K428" i="1"/>
  <c r="K427" i="1"/>
  <c r="K426" i="1"/>
  <c r="K424" i="1"/>
  <c r="K422" i="1"/>
  <c r="K421" i="1"/>
  <c r="K419" i="1"/>
  <c r="K418" i="1"/>
  <c r="K417" i="1"/>
  <c r="K416" i="1"/>
  <c r="K415" i="1"/>
  <c r="K414" i="1"/>
  <c r="K413" i="1"/>
  <c r="K411" i="1"/>
  <c r="K408" i="1"/>
  <c r="K407" i="1"/>
  <c r="K406" i="1"/>
  <c r="K403" i="1"/>
  <c r="K402" i="1"/>
  <c r="K401" i="1"/>
  <c r="K399" i="1"/>
  <c r="K397" i="1"/>
  <c r="K396" i="1"/>
  <c r="K395" i="1"/>
  <c r="K394" i="1"/>
  <c r="K393" i="1"/>
  <c r="K391" i="1"/>
  <c r="K390" i="1"/>
  <c r="K389" i="1"/>
  <c r="K388" i="1"/>
  <c r="K387" i="1"/>
  <c r="K385" i="1"/>
  <c r="K382" i="1"/>
  <c r="K381" i="1"/>
  <c r="K379" i="1"/>
  <c r="K377" i="1"/>
  <c r="K375" i="1"/>
  <c r="K372" i="1"/>
  <c r="K371" i="1"/>
  <c r="K370" i="1"/>
  <c r="K367" i="1"/>
  <c r="K366" i="1"/>
  <c r="K362" i="1"/>
  <c r="K360" i="1"/>
  <c r="K359" i="1"/>
  <c r="K358" i="1"/>
  <c r="K357" i="1"/>
  <c r="K354" i="1"/>
  <c r="K353" i="1"/>
  <c r="K351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2" i="1"/>
  <c r="K331" i="1"/>
  <c r="K330" i="1"/>
  <c r="K329" i="1"/>
  <c r="K327" i="1"/>
  <c r="K324" i="1"/>
  <c r="K323" i="1"/>
  <c r="K321" i="1"/>
  <c r="K319" i="1"/>
  <c r="K316" i="1"/>
  <c r="K315" i="1"/>
  <c r="K314" i="1"/>
  <c r="K311" i="1"/>
  <c r="K310" i="1"/>
  <c r="K309" i="1"/>
  <c r="K306" i="1"/>
  <c r="K305" i="1"/>
  <c r="K304" i="1"/>
  <c r="K303" i="1"/>
  <c r="K300" i="1"/>
  <c r="K298" i="1"/>
  <c r="K297" i="1"/>
  <c r="K295" i="1"/>
  <c r="K292" i="1"/>
  <c r="K289" i="1"/>
  <c r="K288" i="1"/>
  <c r="K287" i="1"/>
  <c r="K284" i="1"/>
  <c r="K283" i="1"/>
  <c r="K278" i="1"/>
  <c r="K277" i="1"/>
  <c r="K275" i="1"/>
  <c r="K271" i="1"/>
  <c r="K269" i="1"/>
  <c r="K268" i="1"/>
  <c r="K267" i="1"/>
  <c r="K264" i="1"/>
  <c r="K263" i="1"/>
  <c r="K258" i="1"/>
  <c r="K257" i="1"/>
  <c r="K256" i="1"/>
  <c r="K254" i="1"/>
  <c r="K253" i="1"/>
  <c r="K252" i="1"/>
  <c r="K251" i="1"/>
  <c r="K250" i="1"/>
  <c r="K249" i="1"/>
  <c r="K248" i="1"/>
  <c r="K247" i="1"/>
  <c r="K245" i="1"/>
  <c r="K241" i="1"/>
  <c r="K240" i="1"/>
  <c r="K239" i="1"/>
  <c r="K238" i="1"/>
  <c r="K237" i="1"/>
  <c r="K232" i="1"/>
  <c r="K230" i="1"/>
  <c r="K228" i="1"/>
  <c r="K227" i="1"/>
  <c r="K226" i="1"/>
  <c r="K225" i="1"/>
  <c r="K224" i="1"/>
  <c r="K223" i="1"/>
  <c r="K222" i="1"/>
  <c r="K221" i="1"/>
  <c r="K220" i="1"/>
  <c r="K218" i="1"/>
  <c r="K217" i="1"/>
  <c r="K216" i="1"/>
  <c r="K213" i="1"/>
  <c r="K210" i="1"/>
  <c r="K208" i="1"/>
  <c r="K207" i="1"/>
  <c r="K205" i="1"/>
  <c r="K204" i="1"/>
  <c r="K203" i="1"/>
  <c r="K201" i="1"/>
  <c r="K200" i="1"/>
  <c r="K199" i="1"/>
  <c r="K198" i="1"/>
  <c r="K195" i="1"/>
  <c r="K194" i="1"/>
  <c r="K193" i="1"/>
  <c r="K192" i="1"/>
  <c r="K191" i="1"/>
  <c r="K190" i="1"/>
  <c r="K189" i="1"/>
  <c r="K188" i="1"/>
  <c r="K187" i="1"/>
  <c r="K185" i="1"/>
  <c r="K184" i="1"/>
  <c r="K183" i="1"/>
  <c r="K182" i="1"/>
  <c r="K180" i="1"/>
  <c r="K175" i="1"/>
  <c r="K172" i="1"/>
  <c r="K171" i="1"/>
  <c r="K170" i="1"/>
  <c r="K168" i="1"/>
  <c r="K166" i="1"/>
  <c r="K165" i="1"/>
  <c r="K162" i="1"/>
  <c r="K161" i="1"/>
  <c r="K157" i="1"/>
  <c r="K156" i="1"/>
  <c r="K154" i="1"/>
  <c r="K153" i="1"/>
  <c r="K152" i="1"/>
  <c r="K151" i="1"/>
  <c r="K150" i="1"/>
  <c r="K149" i="1"/>
  <c r="K148" i="1"/>
  <c r="K146" i="1"/>
  <c r="K143" i="1"/>
  <c r="K142" i="1"/>
  <c r="K141" i="1"/>
  <c r="K139" i="1"/>
  <c r="K135" i="1"/>
  <c r="K134" i="1"/>
  <c r="K130" i="1"/>
  <c r="K129" i="1"/>
  <c r="K127" i="1"/>
  <c r="K124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6" i="1"/>
  <c r="K104" i="1"/>
  <c r="K101" i="1"/>
  <c r="K100" i="1"/>
  <c r="K99" i="1"/>
  <c r="K98" i="1"/>
  <c r="K95" i="1"/>
  <c r="K94" i="1"/>
  <c r="K93" i="1"/>
  <c r="K90" i="1"/>
  <c r="K89" i="1"/>
  <c r="K88" i="1"/>
  <c r="K87" i="1"/>
  <c r="K84" i="1"/>
  <c r="K82" i="1"/>
  <c r="K81" i="1"/>
  <c r="K80" i="1"/>
  <c r="K79" i="1"/>
  <c r="K78" i="1"/>
  <c r="K76" i="1"/>
  <c r="K74" i="1"/>
  <c r="K73" i="1"/>
  <c r="K72" i="1"/>
  <c r="K71" i="1"/>
  <c r="K70" i="1"/>
  <c r="K69" i="1"/>
  <c r="K68" i="1"/>
  <c r="K67" i="1"/>
  <c r="K66" i="1"/>
  <c r="K64" i="1"/>
  <c r="K63" i="1"/>
  <c r="K62" i="1"/>
  <c r="K59" i="1"/>
  <c r="K58" i="1"/>
  <c r="K57" i="1"/>
  <c r="K56" i="1"/>
  <c r="K54" i="1"/>
  <c r="K53" i="1"/>
  <c r="K52" i="1"/>
  <c r="K51" i="1"/>
  <c r="K49" i="1"/>
  <c r="K48" i="1"/>
  <c r="K47" i="1"/>
  <c r="K46" i="1"/>
  <c r="K45" i="1"/>
  <c r="K43" i="1"/>
  <c r="K42" i="1"/>
  <c r="K41" i="1"/>
  <c r="K37" i="1"/>
  <c r="K34" i="1"/>
  <c r="K33" i="1"/>
  <c r="K30" i="1"/>
  <c r="K23" i="1"/>
  <c r="K22" i="1"/>
  <c r="K4" i="1"/>
  <c r="K6" i="1"/>
  <c r="K8" i="1"/>
  <c r="K9" i="1"/>
  <c r="K12" i="1"/>
  <c r="K13" i="1"/>
  <c r="K16" i="1"/>
  <c r="K18" i="1"/>
  <c r="K19" i="1"/>
  <c r="K20" i="1"/>
  <c r="K2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0" i="1"/>
  <c r="M1199" i="1"/>
  <c r="M1197" i="1"/>
  <c r="M1193" i="1"/>
  <c r="M1192" i="1"/>
  <c r="M1186" i="1"/>
  <c r="M1184" i="1"/>
  <c r="M1183" i="1"/>
  <c r="M1182" i="1"/>
  <c r="M1179" i="1"/>
  <c r="M1178" i="1"/>
  <c r="M1177" i="1"/>
  <c r="M1175" i="1"/>
  <c r="M1174" i="1"/>
  <c r="M1173" i="1"/>
  <c r="M1171" i="1"/>
  <c r="M1169" i="1"/>
  <c r="M1168" i="1"/>
  <c r="M1167" i="1"/>
  <c r="M1165" i="1"/>
  <c r="M1164" i="1"/>
  <c r="M1161" i="1"/>
  <c r="M1160" i="1"/>
  <c r="M1159" i="1"/>
  <c r="M1157" i="1"/>
  <c r="M1156" i="1"/>
  <c r="M1154" i="1"/>
  <c r="M1153" i="1"/>
  <c r="M1152" i="1"/>
  <c r="M1151" i="1"/>
  <c r="M1150" i="1"/>
  <c r="M1149" i="1"/>
  <c r="M1148" i="1"/>
  <c r="M1146" i="1"/>
  <c r="M1145" i="1"/>
  <c r="M1143" i="1"/>
  <c r="M1142" i="1"/>
  <c r="M1141" i="1"/>
  <c r="M1140" i="1"/>
  <c r="M1139" i="1"/>
  <c r="M1138" i="1"/>
  <c r="M1136" i="1"/>
  <c r="M1135" i="1"/>
  <c r="M1133" i="1"/>
  <c r="M1132" i="1"/>
  <c r="M1131" i="1"/>
  <c r="M1130" i="1"/>
  <c r="M1129" i="1"/>
  <c r="M1128" i="1"/>
  <c r="M1126" i="1"/>
  <c r="M1124" i="1"/>
  <c r="M1120" i="1"/>
  <c r="M1119" i="1"/>
  <c r="M1117" i="1"/>
  <c r="M1116" i="1"/>
  <c r="M1113" i="1"/>
  <c r="M1112" i="1"/>
  <c r="M1110" i="1"/>
  <c r="M1109" i="1"/>
  <c r="M1106" i="1"/>
  <c r="M1103" i="1"/>
  <c r="M1102" i="1"/>
  <c r="M1100" i="1"/>
  <c r="M1096" i="1"/>
  <c r="M1094" i="1"/>
  <c r="M1093" i="1"/>
  <c r="M1092" i="1"/>
  <c r="M1090" i="1"/>
  <c r="M1088" i="1"/>
  <c r="M1087" i="1"/>
  <c r="M1086" i="1"/>
  <c r="M1084" i="1"/>
  <c r="M1083" i="1"/>
  <c r="M1082" i="1"/>
  <c r="M1081" i="1"/>
  <c r="M1078" i="1"/>
  <c r="M1077" i="1"/>
  <c r="M1073" i="1"/>
  <c r="M1071" i="1"/>
  <c r="M1067" i="1"/>
  <c r="M1066" i="1"/>
  <c r="M1065" i="1"/>
  <c r="M1063" i="1"/>
  <c r="M1062" i="1"/>
  <c r="M1061" i="1"/>
  <c r="M1059" i="1"/>
  <c r="M1058" i="1"/>
  <c r="M1055" i="1"/>
  <c r="M1054" i="1"/>
  <c r="M1049" i="1"/>
  <c r="M1048" i="1"/>
  <c r="M1047" i="1"/>
  <c r="M1044" i="1"/>
  <c r="M1043" i="1"/>
  <c r="M1042" i="1"/>
  <c r="M1041" i="1"/>
  <c r="M1040" i="1"/>
  <c r="M1039" i="1"/>
  <c r="M1037" i="1"/>
  <c r="M1036" i="1"/>
  <c r="M1035" i="1"/>
  <c r="M1033" i="1"/>
  <c r="M1032" i="1"/>
  <c r="M1031" i="1"/>
  <c r="M1030" i="1"/>
  <c r="M1024" i="1"/>
  <c r="M1023" i="1"/>
  <c r="M1022" i="1"/>
  <c r="M1020" i="1"/>
  <c r="M1019" i="1"/>
  <c r="M1018" i="1"/>
  <c r="M1017" i="1"/>
  <c r="M1016" i="1"/>
  <c r="M1015" i="1"/>
  <c r="M1013" i="1"/>
  <c r="M1012" i="1"/>
  <c r="M1009" i="1"/>
  <c r="M1007" i="1"/>
  <c r="M1004" i="1"/>
  <c r="M1002" i="1"/>
  <c r="M1000" i="1"/>
  <c r="M998" i="1"/>
  <c r="M996" i="1"/>
  <c r="M995" i="1"/>
  <c r="M994" i="1"/>
  <c r="M993" i="1"/>
  <c r="M992" i="1"/>
  <c r="M991" i="1"/>
  <c r="M990" i="1"/>
  <c r="M989" i="1"/>
  <c r="M988" i="1"/>
  <c r="M986" i="1"/>
  <c r="M985" i="1"/>
  <c r="M983" i="1"/>
  <c r="M981" i="1"/>
  <c r="M980" i="1"/>
  <c r="M978" i="1"/>
  <c r="M976" i="1"/>
  <c r="M974" i="1"/>
  <c r="M973" i="1"/>
  <c r="M971" i="1"/>
  <c r="M970" i="1"/>
  <c r="M969" i="1"/>
  <c r="M967" i="1"/>
  <c r="M965" i="1"/>
  <c r="M962" i="1"/>
  <c r="M960" i="1"/>
  <c r="M959" i="1"/>
  <c r="M957" i="1"/>
  <c r="M949" i="1"/>
  <c r="M948" i="1"/>
  <c r="M947" i="1"/>
  <c r="M946" i="1"/>
  <c r="M945" i="1"/>
  <c r="M943" i="1"/>
  <c r="M942" i="1"/>
  <c r="M941" i="1"/>
  <c r="M939" i="1"/>
  <c r="M937" i="1"/>
  <c r="M936" i="1"/>
  <c r="M934" i="1"/>
  <c r="M933" i="1"/>
  <c r="M929" i="1"/>
  <c r="M928" i="1"/>
  <c r="M926" i="1"/>
  <c r="M922" i="1"/>
  <c r="M919" i="1"/>
  <c r="M916" i="1"/>
  <c r="M915" i="1"/>
  <c r="M913" i="1"/>
  <c r="M912" i="1"/>
  <c r="M910" i="1"/>
  <c r="M909" i="1"/>
  <c r="M908" i="1"/>
  <c r="M907" i="1"/>
  <c r="M906" i="1"/>
  <c r="M904" i="1"/>
  <c r="M903" i="1"/>
  <c r="M901" i="1"/>
  <c r="M899" i="1"/>
  <c r="M898" i="1"/>
  <c r="M897" i="1"/>
  <c r="M896" i="1"/>
  <c r="M895" i="1"/>
  <c r="M892" i="1"/>
  <c r="M891" i="1"/>
  <c r="M890" i="1"/>
  <c r="M889" i="1"/>
  <c r="M888" i="1"/>
  <c r="M887" i="1"/>
  <c r="M884" i="1"/>
  <c r="M883" i="1"/>
  <c r="M882" i="1"/>
  <c r="M881" i="1"/>
  <c r="M880" i="1"/>
  <c r="M878" i="1"/>
  <c r="M877" i="1"/>
  <c r="M875" i="1"/>
  <c r="M874" i="1"/>
  <c r="M873" i="1"/>
  <c r="M872" i="1"/>
  <c r="M871" i="1"/>
  <c r="M870" i="1"/>
  <c r="M868" i="1"/>
  <c r="M865" i="1"/>
  <c r="M864" i="1"/>
  <c r="M863" i="1"/>
  <c r="M862" i="1"/>
  <c r="M861" i="1"/>
  <c r="M860" i="1"/>
  <c r="M858" i="1"/>
  <c r="M857" i="1"/>
  <c r="M856" i="1"/>
  <c r="M854" i="1"/>
  <c r="M851" i="1"/>
  <c r="M849" i="1"/>
  <c r="M847" i="1"/>
  <c r="M846" i="1"/>
  <c r="M844" i="1"/>
  <c r="M841" i="1"/>
  <c r="M837" i="1"/>
  <c r="M835" i="1"/>
  <c r="M834" i="1"/>
  <c r="M833" i="1"/>
  <c r="M832" i="1"/>
  <c r="M827" i="1"/>
  <c r="M824" i="1"/>
  <c r="M823" i="1"/>
  <c r="M822" i="1"/>
  <c r="M821" i="1"/>
  <c r="M815" i="1"/>
  <c r="M814" i="1"/>
  <c r="M813" i="1"/>
  <c r="M812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7" i="1"/>
  <c r="M794" i="1"/>
  <c r="M793" i="1"/>
  <c r="M791" i="1"/>
  <c r="M790" i="1"/>
  <c r="M789" i="1"/>
  <c r="M787" i="1"/>
  <c r="M786" i="1"/>
  <c r="M785" i="1"/>
  <c r="M782" i="1"/>
  <c r="M781" i="1"/>
  <c r="M780" i="1"/>
  <c r="M776" i="1"/>
  <c r="M774" i="1"/>
  <c r="M773" i="1"/>
  <c r="M769" i="1"/>
  <c r="M767" i="1"/>
  <c r="M766" i="1"/>
  <c r="M765" i="1"/>
  <c r="M764" i="1"/>
  <c r="M763" i="1"/>
  <c r="M762" i="1"/>
  <c r="M761" i="1"/>
  <c r="M756" i="1"/>
  <c r="M755" i="1"/>
  <c r="M754" i="1"/>
  <c r="M753" i="1"/>
  <c r="M752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4" i="1"/>
  <c r="M733" i="1"/>
  <c r="M731" i="1"/>
  <c r="M729" i="1"/>
  <c r="M727" i="1"/>
  <c r="M726" i="1"/>
  <c r="M724" i="1"/>
  <c r="M723" i="1"/>
  <c r="M722" i="1"/>
  <c r="M720" i="1"/>
  <c r="M719" i="1"/>
  <c r="M716" i="1"/>
  <c r="M714" i="1"/>
  <c r="M712" i="1"/>
  <c r="M709" i="1"/>
  <c r="M708" i="1"/>
  <c r="M707" i="1"/>
  <c r="M706" i="1"/>
  <c r="M705" i="1"/>
  <c r="M704" i="1"/>
  <c r="M701" i="1"/>
  <c r="M700" i="1"/>
  <c r="M699" i="1"/>
  <c r="M696" i="1"/>
  <c r="M690" i="1"/>
  <c r="M687" i="1"/>
  <c r="M686" i="1"/>
  <c r="M685" i="1"/>
  <c r="M684" i="1"/>
  <c r="M683" i="1"/>
  <c r="M681" i="1"/>
  <c r="M680" i="1"/>
  <c r="M679" i="1"/>
  <c r="M678" i="1"/>
  <c r="M677" i="1"/>
  <c r="M676" i="1"/>
  <c r="M675" i="1"/>
  <c r="M672" i="1"/>
  <c r="M669" i="1"/>
  <c r="M668" i="1"/>
  <c r="M666" i="1"/>
  <c r="M665" i="1"/>
  <c r="M663" i="1"/>
  <c r="M660" i="1"/>
  <c r="M659" i="1"/>
  <c r="M658" i="1"/>
  <c r="M656" i="1"/>
  <c r="M654" i="1"/>
  <c r="M652" i="1"/>
  <c r="M650" i="1"/>
  <c r="M649" i="1"/>
  <c r="M647" i="1"/>
  <c r="M646" i="1"/>
  <c r="M645" i="1"/>
  <c r="M644" i="1"/>
  <c r="M642" i="1"/>
  <c r="M639" i="1"/>
  <c r="M638" i="1"/>
  <c r="M635" i="1"/>
  <c r="M633" i="1"/>
  <c r="M632" i="1"/>
  <c r="M630" i="1"/>
  <c r="M628" i="1"/>
  <c r="M626" i="1"/>
  <c r="M624" i="1"/>
  <c r="M623" i="1"/>
  <c r="M622" i="1"/>
  <c r="M620" i="1"/>
  <c r="M618" i="1"/>
  <c r="M617" i="1"/>
  <c r="M616" i="1"/>
  <c r="M615" i="1"/>
  <c r="M614" i="1"/>
  <c r="M611" i="1"/>
  <c r="M610" i="1"/>
  <c r="M609" i="1"/>
  <c r="M608" i="1"/>
  <c r="M605" i="1"/>
  <c r="M604" i="1"/>
  <c r="M603" i="1"/>
  <c r="M602" i="1"/>
  <c r="M601" i="1"/>
  <c r="M597" i="1"/>
  <c r="M594" i="1"/>
  <c r="M593" i="1"/>
  <c r="M592" i="1"/>
  <c r="M589" i="1"/>
  <c r="M586" i="1"/>
  <c r="M584" i="1"/>
  <c r="M582" i="1"/>
  <c r="M581" i="1"/>
  <c r="M580" i="1"/>
  <c r="M579" i="1"/>
  <c r="M577" i="1"/>
  <c r="M576" i="1"/>
  <c r="M575" i="1"/>
  <c r="M572" i="1"/>
  <c r="M571" i="1"/>
  <c r="M569" i="1"/>
  <c r="M567" i="1"/>
  <c r="M564" i="1"/>
  <c r="M563" i="1"/>
  <c r="M561" i="1"/>
  <c r="M560" i="1"/>
  <c r="M558" i="1"/>
  <c r="M555" i="1"/>
  <c r="M553" i="1"/>
  <c r="M548" i="1"/>
  <c r="M547" i="1"/>
  <c r="M545" i="1"/>
  <c r="M544" i="1"/>
  <c r="M543" i="1"/>
  <c r="M540" i="1"/>
  <c r="M539" i="1"/>
  <c r="M536" i="1"/>
  <c r="M535" i="1"/>
  <c r="M534" i="1"/>
  <c r="M532" i="1"/>
  <c r="M530" i="1"/>
  <c r="M529" i="1"/>
  <c r="M527" i="1"/>
  <c r="M525" i="1"/>
  <c r="M524" i="1"/>
  <c r="M523" i="1"/>
  <c r="M521" i="1"/>
  <c r="M520" i="1"/>
  <c r="M519" i="1"/>
  <c r="M517" i="1"/>
  <c r="M516" i="1"/>
  <c r="M512" i="1"/>
  <c r="M511" i="1"/>
  <c r="M506" i="1"/>
  <c r="M505" i="1"/>
  <c r="M501" i="1"/>
  <c r="M499" i="1"/>
  <c r="M496" i="1"/>
  <c r="M494" i="1"/>
  <c r="M493" i="1"/>
  <c r="M491" i="1"/>
  <c r="M490" i="1"/>
  <c r="M489" i="1"/>
  <c r="M488" i="1"/>
  <c r="M485" i="1"/>
  <c r="M483" i="1"/>
  <c r="M480" i="1"/>
  <c r="M479" i="1"/>
  <c r="M478" i="1"/>
  <c r="M477" i="1"/>
  <c r="M476" i="1"/>
  <c r="M475" i="1"/>
  <c r="M472" i="1"/>
  <c r="M467" i="1"/>
  <c r="M465" i="1"/>
  <c r="M464" i="1"/>
  <c r="M462" i="1"/>
  <c r="M461" i="1"/>
  <c r="M459" i="1"/>
  <c r="M458" i="1"/>
  <c r="M455" i="1"/>
  <c r="M454" i="1"/>
  <c r="M452" i="1"/>
  <c r="M450" i="1"/>
  <c r="M449" i="1"/>
  <c r="M448" i="1"/>
  <c r="M446" i="1"/>
  <c r="M445" i="1"/>
  <c r="M443" i="1"/>
  <c r="M442" i="1"/>
  <c r="M441" i="1"/>
  <c r="M440" i="1"/>
  <c r="M439" i="1"/>
  <c r="M438" i="1"/>
  <c r="M437" i="1"/>
  <c r="M435" i="1"/>
  <c r="M433" i="1"/>
  <c r="M432" i="1"/>
  <c r="M431" i="1"/>
  <c r="M428" i="1"/>
  <c r="M427" i="1"/>
  <c r="M426" i="1"/>
  <c r="M424" i="1"/>
  <c r="M422" i="1"/>
  <c r="M421" i="1"/>
  <c r="M419" i="1"/>
  <c r="M418" i="1"/>
  <c r="M417" i="1"/>
  <c r="M416" i="1"/>
  <c r="M415" i="1"/>
  <c r="M414" i="1"/>
  <c r="M413" i="1"/>
  <c r="M411" i="1"/>
  <c r="M408" i="1"/>
  <c r="M407" i="1"/>
  <c r="M406" i="1"/>
  <c r="M403" i="1"/>
  <c r="M402" i="1"/>
  <c r="M401" i="1"/>
  <c r="M399" i="1"/>
  <c r="M397" i="1"/>
  <c r="M396" i="1"/>
  <c r="M395" i="1"/>
  <c r="M394" i="1"/>
  <c r="M393" i="1"/>
  <c r="M391" i="1"/>
  <c r="M390" i="1"/>
  <c r="M389" i="1"/>
  <c r="M388" i="1"/>
  <c r="M387" i="1"/>
  <c r="M385" i="1"/>
  <c r="M382" i="1"/>
  <c r="M381" i="1"/>
  <c r="M379" i="1"/>
  <c r="M377" i="1"/>
  <c r="M375" i="1"/>
  <c r="M372" i="1"/>
  <c r="M371" i="1"/>
  <c r="M370" i="1"/>
  <c r="M367" i="1"/>
  <c r="M366" i="1"/>
  <c r="M362" i="1"/>
  <c r="M360" i="1"/>
  <c r="M359" i="1"/>
  <c r="M358" i="1"/>
  <c r="M357" i="1"/>
  <c r="M354" i="1"/>
  <c r="M353" i="1"/>
  <c r="M351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2" i="1"/>
  <c r="M331" i="1"/>
  <c r="M330" i="1"/>
  <c r="M329" i="1"/>
  <c r="M327" i="1"/>
  <c r="M324" i="1"/>
  <c r="M323" i="1"/>
  <c r="M321" i="1"/>
  <c r="M319" i="1"/>
  <c r="M316" i="1"/>
  <c r="M315" i="1"/>
  <c r="M314" i="1"/>
  <c r="M311" i="1"/>
  <c r="M310" i="1"/>
  <c r="M309" i="1"/>
  <c r="M306" i="1"/>
  <c r="M305" i="1"/>
  <c r="M304" i="1"/>
  <c r="M303" i="1"/>
  <c r="M300" i="1"/>
  <c r="M298" i="1"/>
  <c r="M297" i="1"/>
  <c r="M295" i="1"/>
  <c r="M292" i="1"/>
  <c r="M289" i="1"/>
  <c r="M288" i="1"/>
  <c r="M287" i="1"/>
  <c r="M284" i="1"/>
  <c r="M283" i="1"/>
  <c r="M278" i="1"/>
  <c r="M277" i="1"/>
  <c r="M275" i="1"/>
  <c r="M271" i="1"/>
  <c r="M269" i="1"/>
  <c r="M268" i="1"/>
  <c r="M267" i="1"/>
  <c r="M264" i="1"/>
  <c r="M263" i="1"/>
  <c r="M258" i="1"/>
  <c r="M257" i="1"/>
  <c r="M256" i="1"/>
  <c r="M254" i="1"/>
  <c r="M253" i="1"/>
  <c r="M252" i="1"/>
  <c r="M251" i="1"/>
  <c r="M250" i="1"/>
  <c r="M249" i="1"/>
  <c r="M248" i="1"/>
  <c r="M247" i="1"/>
  <c r="M245" i="1"/>
  <c r="M241" i="1"/>
  <c r="M240" i="1"/>
  <c r="M239" i="1"/>
  <c r="M238" i="1"/>
  <c r="M237" i="1"/>
  <c r="M232" i="1"/>
  <c r="M230" i="1"/>
  <c r="M228" i="1"/>
  <c r="M227" i="1"/>
  <c r="M226" i="1"/>
  <c r="M225" i="1"/>
  <c r="M224" i="1"/>
  <c r="M223" i="1"/>
  <c r="M222" i="1"/>
  <c r="M221" i="1"/>
  <c r="M220" i="1"/>
  <c r="M218" i="1"/>
  <c r="M217" i="1"/>
  <c r="M216" i="1"/>
  <c r="M213" i="1"/>
  <c r="M210" i="1"/>
  <c r="M208" i="1"/>
  <c r="M207" i="1"/>
  <c r="M205" i="1"/>
  <c r="M204" i="1"/>
  <c r="M203" i="1"/>
  <c r="M201" i="1"/>
  <c r="M200" i="1"/>
  <c r="M199" i="1"/>
  <c r="M198" i="1"/>
  <c r="M195" i="1"/>
  <c r="M194" i="1"/>
  <c r="M193" i="1"/>
  <c r="M192" i="1"/>
  <c r="M191" i="1"/>
  <c r="M190" i="1"/>
  <c r="M189" i="1"/>
  <c r="M188" i="1"/>
  <c r="M187" i="1"/>
  <c r="M185" i="1"/>
  <c r="M184" i="1"/>
  <c r="M183" i="1"/>
  <c r="M182" i="1"/>
  <c r="M180" i="1"/>
  <c r="M175" i="1"/>
  <c r="M172" i="1"/>
  <c r="M171" i="1"/>
  <c r="M170" i="1"/>
  <c r="M168" i="1"/>
  <c r="M166" i="1"/>
  <c r="M165" i="1"/>
  <c r="M162" i="1"/>
  <c r="M161" i="1"/>
  <c r="M157" i="1"/>
  <c r="M156" i="1"/>
  <c r="M154" i="1"/>
  <c r="M153" i="1"/>
  <c r="M152" i="1"/>
  <c r="M151" i="1"/>
  <c r="M150" i="1"/>
  <c r="M149" i="1"/>
  <c r="M148" i="1"/>
  <c r="M146" i="1"/>
  <c r="M143" i="1"/>
  <c r="M142" i="1"/>
  <c r="M141" i="1"/>
  <c r="M139" i="1"/>
  <c r="M135" i="1"/>
  <c r="M134" i="1"/>
  <c r="M130" i="1"/>
  <c r="M129" i="1"/>
  <c r="M127" i="1"/>
  <c r="M124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6" i="1"/>
  <c r="M104" i="1"/>
  <c r="M101" i="1"/>
  <c r="M100" i="1"/>
  <c r="M99" i="1"/>
  <c r="M98" i="1"/>
  <c r="M95" i="1"/>
  <c r="M94" i="1"/>
  <c r="M93" i="1"/>
  <c r="M90" i="1"/>
  <c r="M89" i="1"/>
  <c r="M88" i="1"/>
  <c r="M87" i="1"/>
  <c r="M84" i="1"/>
  <c r="M82" i="1"/>
  <c r="M81" i="1"/>
  <c r="M80" i="1"/>
  <c r="M79" i="1"/>
  <c r="M78" i="1"/>
  <c r="M76" i="1"/>
  <c r="M74" i="1"/>
  <c r="M73" i="1"/>
  <c r="M72" i="1"/>
  <c r="M71" i="1"/>
  <c r="M70" i="1"/>
  <c r="M69" i="1"/>
  <c r="M68" i="1"/>
  <c r="M67" i="1"/>
  <c r="M66" i="1"/>
  <c r="M64" i="1"/>
  <c r="M63" i="1"/>
  <c r="M62" i="1"/>
  <c r="M59" i="1"/>
  <c r="M58" i="1"/>
  <c r="M57" i="1"/>
  <c r="M56" i="1"/>
  <c r="M54" i="1"/>
  <c r="M53" i="1"/>
  <c r="M52" i="1"/>
  <c r="M51" i="1"/>
  <c r="M49" i="1"/>
  <c r="M48" i="1"/>
  <c r="M47" i="1"/>
  <c r="M46" i="1"/>
  <c r="M45" i="1"/>
  <c r="M43" i="1"/>
  <c r="M42" i="1"/>
  <c r="M41" i="1"/>
  <c r="M37" i="1"/>
  <c r="M34" i="1"/>
  <c r="M33" i="1"/>
  <c r="M30" i="1"/>
  <c r="M23" i="1"/>
  <c r="M22" i="1"/>
  <c r="M20" i="1"/>
  <c r="M19" i="1"/>
  <c r="M18" i="1"/>
  <c r="M16" i="1"/>
  <c r="M13" i="1"/>
  <c r="M12" i="1"/>
  <c r="M9" i="1"/>
  <c r="M8" i="1"/>
  <c r="M6" i="1"/>
  <c r="M4" i="1"/>
  <c r="M2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201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54" i="1"/>
  <c r="Q153" i="1"/>
  <c r="Q152" i="1"/>
  <c r="Q151" i="1"/>
  <c r="Q9" i="1"/>
  <c r="Q8" i="1"/>
  <c r="Q7" i="1"/>
  <c r="Q6" i="1"/>
  <c r="Q5" i="1"/>
  <c r="Q3" i="1"/>
  <c r="Q4" i="1"/>
  <c r="U2" i="1"/>
  <c r="R1200" i="1"/>
  <c r="R1199" i="1"/>
  <c r="R1197" i="1"/>
  <c r="R1193" i="1"/>
  <c r="R1192" i="1"/>
  <c r="R1186" i="1"/>
  <c r="R1184" i="1"/>
  <c r="R1183" i="1"/>
  <c r="R1182" i="1"/>
  <c r="R1179" i="1"/>
  <c r="R1178" i="1"/>
  <c r="R1177" i="1"/>
  <c r="R1175" i="1"/>
  <c r="R1174" i="1"/>
  <c r="R1173" i="1"/>
  <c r="R1171" i="1"/>
  <c r="R1169" i="1"/>
  <c r="R1168" i="1"/>
  <c r="R1167" i="1"/>
  <c r="R1165" i="1"/>
  <c r="R1164" i="1"/>
  <c r="R1161" i="1"/>
  <c r="R1160" i="1"/>
  <c r="R1159" i="1"/>
  <c r="R1157" i="1"/>
  <c r="R1156" i="1"/>
  <c r="R1154" i="1"/>
  <c r="R1153" i="1"/>
  <c r="R1152" i="1"/>
  <c r="R1151" i="1"/>
  <c r="R1150" i="1"/>
  <c r="R1149" i="1"/>
  <c r="R1148" i="1"/>
  <c r="R1146" i="1"/>
  <c r="R1145" i="1"/>
  <c r="R1143" i="1"/>
  <c r="R1142" i="1"/>
  <c r="R1141" i="1"/>
  <c r="R1140" i="1"/>
  <c r="R1139" i="1"/>
  <c r="R1138" i="1"/>
  <c r="R1136" i="1"/>
  <c r="R1135" i="1"/>
  <c r="R1133" i="1"/>
  <c r="R1132" i="1"/>
  <c r="R1131" i="1"/>
  <c r="R1130" i="1"/>
  <c r="R1129" i="1"/>
  <c r="R1128" i="1"/>
  <c r="R1126" i="1"/>
  <c r="R1124" i="1"/>
  <c r="R1120" i="1"/>
  <c r="R1119" i="1"/>
  <c r="R1117" i="1"/>
  <c r="R1116" i="1"/>
  <c r="R1113" i="1"/>
  <c r="R1112" i="1"/>
  <c r="R1110" i="1"/>
  <c r="R1109" i="1"/>
  <c r="R1106" i="1"/>
  <c r="R1103" i="1"/>
  <c r="R1102" i="1"/>
  <c r="R1100" i="1"/>
  <c r="R1096" i="1"/>
  <c r="R1094" i="1"/>
  <c r="R1093" i="1"/>
  <c r="R1092" i="1"/>
  <c r="R1090" i="1"/>
  <c r="R1088" i="1"/>
  <c r="R1087" i="1"/>
  <c r="R1086" i="1"/>
  <c r="R1084" i="1"/>
  <c r="R1083" i="1"/>
  <c r="R1082" i="1"/>
  <c r="R1081" i="1"/>
  <c r="R1078" i="1"/>
  <c r="R1077" i="1"/>
  <c r="R1073" i="1"/>
  <c r="R1071" i="1"/>
  <c r="R1067" i="1"/>
  <c r="R1066" i="1"/>
  <c r="R1065" i="1"/>
  <c r="R1063" i="1"/>
  <c r="R1062" i="1"/>
  <c r="R1061" i="1"/>
  <c r="R1059" i="1"/>
  <c r="R1058" i="1"/>
  <c r="R1055" i="1"/>
  <c r="R1054" i="1"/>
  <c r="R1049" i="1"/>
  <c r="R1048" i="1"/>
  <c r="R1047" i="1"/>
  <c r="R1044" i="1"/>
  <c r="R1043" i="1"/>
  <c r="R1042" i="1"/>
  <c r="R1041" i="1"/>
  <c r="R1040" i="1"/>
  <c r="R1039" i="1"/>
  <c r="R1037" i="1"/>
  <c r="R1036" i="1"/>
  <c r="R1035" i="1"/>
  <c r="R1033" i="1"/>
  <c r="R1032" i="1"/>
  <c r="R1031" i="1"/>
  <c r="R1030" i="1"/>
  <c r="R1024" i="1"/>
  <c r="R1023" i="1"/>
  <c r="R1022" i="1"/>
  <c r="R1020" i="1"/>
  <c r="R1019" i="1"/>
  <c r="R1018" i="1"/>
  <c r="R1017" i="1"/>
  <c r="R1016" i="1"/>
  <c r="R1015" i="1"/>
  <c r="R1013" i="1"/>
  <c r="R1012" i="1"/>
  <c r="R1009" i="1"/>
  <c r="R1007" i="1"/>
  <c r="R1004" i="1"/>
  <c r="R1002" i="1"/>
  <c r="R1000" i="1"/>
  <c r="R998" i="1"/>
  <c r="R996" i="1"/>
  <c r="R995" i="1"/>
  <c r="R994" i="1"/>
  <c r="R993" i="1"/>
  <c r="R992" i="1"/>
  <c r="R991" i="1"/>
  <c r="R990" i="1"/>
  <c r="R989" i="1"/>
  <c r="R988" i="1"/>
  <c r="R986" i="1"/>
  <c r="R985" i="1"/>
  <c r="R983" i="1"/>
  <c r="R981" i="1"/>
  <c r="R980" i="1"/>
  <c r="R978" i="1"/>
  <c r="R976" i="1"/>
  <c r="R974" i="1"/>
  <c r="R973" i="1"/>
  <c r="R971" i="1"/>
  <c r="R970" i="1"/>
  <c r="R969" i="1"/>
  <c r="R967" i="1"/>
  <c r="R965" i="1"/>
  <c r="R962" i="1"/>
  <c r="R960" i="1"/>
  <c r="R959" i="1"/>
  <c r="R957" i="1"/>
  <c r="R949" i="1"/>
  <c r="R948" i="1"/>
  <c r="R947" i="1"/>
  <c r="R946" i="1"/>
  <c r="R945" i="1"/>
  <c r="R943" i="1"/>
  <c r="R942" i="1"/>
  <c r="R941" i="1"/>
  <c r="R939" i="1"/>
  <c r="R937" i="1"/>
  <c r="R936" i="1"/>
  <c r="R934" i="1"/>
  <c r="R933" i="1"/>
  <c r="R929" i="1"/>
  <c r="R928" i="1"/>
  <c r="R926" i="1"/>
  <c r="R922" i="1"/>
  <c r="R919" i="1"/>
  <c r="R916" i="1"/>
  <c r="R915" i="1"/>
  <c r="R913" i="1"/>
  <c r="R912" i="1"/>
  <c r="R910" i="1"/>
  <c r="R909" i="1"/>
  <c r="R908" i="1"/>
  <c r="R907" i="1"/>
  <c r="R906" i="1"/>
  <c r="R904" i="1"/>
  <c r="R903" i="1"/>
  <c r="R901" i="1"/>
  <c r="R899" i="1"/>
  <c r="R898" i="1"/>
  <c r="R897" i="1"/>
  <c r="R896" i="1"/>
  <c r="R895" i="1"/>
  <c r="R892" i="1"/>
  <c r="R891" i="1"/>
  <c r="R890" i="1"/>
  <c r="R889" i="1"/>
  <c r="R888" i="1"/>
  <c r="R887" i="1"/>
  <c r="R884" i="1"/>
  <c r="R883" i="1"/>
  <c r="R882" i="1"/>
  <c r="R881" i="1"/>
  <c r="R880" i="1"/>
  <c r="R878" i="1"/>
  <c r="R877" i="1"/>
  <c r="R875" i="1"/>
  <c r="R874" i="1"/>
  <c r="R873" i="1"/>
  <c r="R872" i="1"/>
  <c r="R871" i="1"/>
  <c r="R870" i="1"/>
  <c r="R868" i="1"/>
  <c r="R865" i="1"/>
  <c r="R864" i="1"/>
  <c r="R863" i="1"/>
  <c r="R862" i="1"/>
  <c r="R861" i="1"/>
  <c r="R860" i="1"/>
  <c r="R858" i="1"/>
  <c r="R857" i="1"/>
  <c r="R856" i="1"/>
  <c r="R854" i="1"/>
  <c r="R851" i="1"/>
  <c r="R849" i="1"/>
  <c r="R847" i="1"/>
  <c r="R846" i="1"/>
  <c r="R844" i="1"/>
  <c r="R841" i="1"/>
  <c r="R837" i="1"/>
  <c r="R835" i="1"/>
  <c r="R834" i="1"/>
  <c r="R833" i="1"/>
  <c r="R832" i="1"/>
  <c r="R827" i="1"/>
  <c r="R824" i="1"/>
  <c r="R823" i="1"/>
  <c r="R822" i="1"/>
  <c r="R821" i="1"/>
  <c r="R815" i="1"/>
  <c r="R814" i="1"/>
  <c r="R813" i="1"/>
  <c r="R812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7" i="1"/>
  <c r="R794" i="1"/>
  <c r="R793" i="1"/>
  <c r="R791" i="1"/>
  <c r="R790" i="1"/>
  <c r="R789" i="1"/>
  <c r="R787" i="1"/>
  <c r="R786" i="1"/>
  <c r="R785" i="1"/>
  <c r="R782" i="1"/>
  <c r="R781" i="1"/>
  <c r="R780" i="1"/>
  <c r="R776" i="1"/>
  <c r="R774" i="1"/>
  <c r="R773" i="1"/>
  <c r="R769" i="1"/>
  <c r="R767" i="1"/>
  <c r="R766" i="1"/>
  <c r="R765" i="1"/>
  <c r="R764" i="1"/>
  <c r="R763" i="1"/>
  <c r="R762" i="1"/>
  <c r="R761" i="1"/>
  <c r="R756" i="1"/>
  <c r="R755" i="1"/>
  <c r="R754" i="1"/>
  <c r="R753" i="1"/>
  <c r="R752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4" i="1"/>
  <c r="R733" i="1"/>
  <c r="R731" i="1"/>
  <c r="R729" i="1"/>
  <c r="R727" i="1"/>
  <c r="R726" i="1"/>
  <c r="R724" i="1"/>
  <c r="R723" i="1"/>
  <c r="R722" i="1"/>
  <c r="R720" i="1"/>
  <c r="R719" i="1"/>
  <c r="R716" i="1"/>
  <c r="R714" i="1"/>
  <c r="R712" i="1"/>
  <c r="R709" i="1"/>
  <c r="R708" i="1"/>
  <c r="R707" i="1"/>
  <c r="R706" i="1"/>
  <c r="R705" i="1"/>
  <c r="R704" i="1"/>
  <c r="R701" i="1"/>
  <c r="R700" i="1"/>
  <c r="R699" i="1"/>
  <c r="R696" i="1"/>
  <c r="R690" i="1"/>
  <c r="R687" i="1"/>
  <c r="R686" i="1"/>
  <c r="R685" i="1"/>
  <c r="R684" i="1"/>
  <c r="R683" i="1"/>
  <c r="R681" i="1"/>
  <c r="R680" i="1"/>
  <c r="R679" i="1"/>
  <c r="R678" i="1"/>
  <c r="R677" i="1"/>
  <c r="R676" i="1"/>
  <c r="R675" i="1"/>
  <c r="R672" i="1"/>
  <c r="R669" i="1"/>
  <c r="R668" i="1"/>
  <c r="R666" i="1"/>
  <c r="R665" i="1"/>
  <c r="R663" i="1"/>
  <c r="R660" i="1"/>
  <c r="R659" i="1"/>
  <c r="R658" i="1"/>
  <c r="R656" i="1"/>
  <c r="R654" i="1"/>
  <c r="R652" i="1"/>
  <c r="R650" i="1"/>
  <c r="R649" i="1"/>
  <c r="R647" i="1"/>
  <c r="R646" i="1"/>
  <c r="R645" i="1"/>
  <c r="R644" i="1"/>
  <c r="R642" i="1"/>
  <c r="R639" i="1"/>
  <c r="R638" i="1"/>
  <c r="R635" i="1"/>
  <c r="R633" i="1"/>
  <c r="R632" i="1"/>
  <c r="R630" i="1"/>
  <c r="R628" i="1"/>
  <c r="R626" i="1"/>
  <c r="R624" i="1"/>
  <c r="R623" i="1"/>
  <c r="R622" i="1"/>
  <c r="R620" i="1"/>
  <c r="R618" i="1"/>
  <c r="R617" i="1"/>
  <c r="R616" i="1"/>
  <c r="R615" i="1"/>
  <c r="R614" i="1"/>
  <c r="R611" i="1"/>
  <c r="R610" i="1"/>
  <c r="R609" i="1"/>
  <c r="R608" i="1"/>
  <c r="R605" i="1"/>
  <c r="R604" i="1"/>
  <c r="R603" i="1"/>
  <c r="R602" i="1"/>
  <c r="R601" i="1"/>
  <c r="R597" i="1"/>
  <c r="R594" i="1"/>
  <c r="R593" i="1"/>
  <c r="R592" i="1"/>
  <c r="R589" i="1"/>
  <c r="R586" i="1"/>
  <c r="R584" i="1"/>
  <c r="R582" i="1"/>
  <c r="R581" i="1"/>
  <c r="R580" i="1"/>
  <c r="R579" i="1"/>
  <c r="R577" i="1"/>
  <c r="R576" i="1"/>
  <c r="R575" i="1"/>
  <c r="R572" i="1"/>
  <c r="R571" i="1"/>
  <c r="R569" i="1"/>
  <c r="R567" i="1"/>
  <c r="R564" i="1"/>
  <c r="R563" i="1"/>
  <c r="R561" i="1"/>
  <c r="R560" i="1"/>
  <c r="R558" i="1"/>
  <c r="R516" i="1"/>
  <c r="R517" i="1"/>
  <c r="R519" i="1"/>
  <c r="R520" i="1"/>
  <c r="R521" i="1"/>
  <c r="R523" i="1"/>
  <c r="R524" i="1"/>
  <c r="R525" i="1"/>
  <c r="R527" i="1"/>
  <c r="R529" i="1"/>
  <c r="R530" i="1"/>
  <c r="R532" i="1"/>
  <c r="R534" i="1"/>
  <c r="R535" i="1"/>
  <c r="R536" i="1"/>
  <c r="R539" i="1"/>
  <c r="R540" i="1"/>
  <c r="R543" i="1"/>
  <c r="R544" i="1"/>
  <c r="R545" i="1"/>
  <c r="R547" i="1"/>
  <c r="R548" i="1"/>
  <c r="R553" i="1"/>
  <c r="R555" i="1"/>
  <c r="R512" i="1"/>
  <c r="R511" i="1"/>
  <c r="R506" i="1"/>
  <c r="R505" i="1"/>
  <c r="R501" i="1"/>
  <c r="R499" i="1"/>
  <c r="R496" i="1"/>
  <c r="R494" i="1"/>
  <c r="R493" i="1"/>
  <c r="R491" i="1"/>
  <c r="R490" i="1"/>
  <c r="R489" i="1"/>
  <c r="R488" i="1"/>
  <c r="R485" i="1"/>
  <c r="R483" i="1"/>
  <c r="R480" i="1"/>
  <c r="R479" i="1"/>
  <c r="R478" i="1"/>
  <c r="R477" i="1"/>
  <c r="R476" i="1"/>
  <c r="R475" i="1"/>
  <c r="R472" i="1"/>
  <c r="R467" i="1"/>
  <c r="R465" i="1"/>
  <c r="R464" i="1"/>
  <c r="R462" i="1"/>
  <c r="R461" i="1"/>
  <c r="R459" i="1"/>
  <c r="R458" i="1"/>
  <c r="R455" i="1"/>
  <c r="R454" i="1"/>
  <c r="R452" i="1"/>
  <c r="R450" i="1"/>
  <c r="R449" i="1"/>
  <c r="R448" i="1"/>
  <c r="R446" i="1"/>
  <c r="R445" i="1"/>
  <c r="R443" i="1"/>
  <c r="R442" i="1"/>
  <c r="R441" i="1"/>
  <c r="R440" i="1"/>
  <c r="R439" i="1"/>
  <c r="R438" i="1"/>
  <c r="R437" i="1"/>
  <c r="R435" i="1"/>
  <c r="R433" i="1"/>
  <c r="R432" i="1"/>
  <c r="R431" i="1"/>
  <c r="R428" i="1"/>
  <c r="R427" i="1"/>
  <c r="R426" i="1"/>
  <c r="R424" i="1"/>
  <c r="R422" i="1"/>
  <c r="R421" i="1"/>
  <c r="R419" i="1"/>
  <c r="R418" i="1"/>
  <c r="R417" i="1"/>
  <c r="R416" i="1"/>
  <c r="R415" i="1"/>
  <c r="R414" i="1"/>
  <c r="R413" i="1"/>
  <c r="R411" i="1"/>
  <c r="R408" i="1"/>
  <c r="R407" i="1"/>
  <c r="R406" i="1"/>
  <c r="R403" i="1"/>
  <c r="R402" i="1"/>
  <c r="R401" i="1"/>
  <c r="R399" i="1"/>
  <c r="R397" i="1"/>
  <c r="R396" i="1"/>
  <c r="R395" i="1"/>
  <c r="R394" i="1"/>
  <c r="R393" i="1"/>
  <c r="R391" i="1"/>
  <c r="R390" i="1"/>
  <c r="R389" i="1"/>
  <c r="R388" i="1"/>
  <c r="R387" i="1"/>
  <c r="R385" i="1"/>
  <c r="R382" i="1"/>
  <c r="R381" i="1"/>
  <c r="R379" i="1"/>
  <c r="R377" i="1"/>
  <c r="R375" i="1"/>
  <c r="R372" i="1"/>
  <c r="R371" i="1"/>
  <c r="R370" i="1"/>
  <c r="R367" i="1"/>
  <c r="R366" i="1"/>
  <c r="R362" i="1"/>
  <c r="R360" i="1"/>
  <c r="R359" i="1"/>
  <c r="R358" i="1"/>
  <c r="R357" i="1"/>
  <c r="R354" i="1"/>
  <c r="R353" i="1"/>
  <c r="R351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2" i="1"/>
  <c r="R331" i="1"/>
  <c r="R330" i="1"/>
  <c r="R329" i="1"/>
  <c r="R327" i="1"/>
  <c r="R324" i="1"/>
  <c r="R323" i="1"/>
  <c r="R321" i="1"/>
  <c r="R319" i="1"/>
  <c r="R316" i="1"/>
  <c r="R315" i="1"/>
  <c r="R314" i="1"/>
  <c r="R311" i="1"/>
  <c r="R310" i="1"/>
  <c r="R309" i="1"/>
  <c r="R306" i="1"/>
  <c r="R305" i="1"/>
  <c r="R304" i="1"/>
  <c r="R303" i="1"/>
  <c r="R300" i="1"/>
  <c r="R298" i="1"/>
  <c r="R297" i="1"/>
  <c r="R295" i="1"/>
  <c r="R292" i="1"/>
  <c r="R289" i="1"/>
  <c r="R288" i="1"/>
  <c r="R287" i="1"/>
  <c r="R284" i="1"/>
  <c r="R283" i="1"/>
  <c r="R278" i="1"/>
  <c r="R277" i="1"/>
  <c r="R275" i="1"/>
  <c r="R271" i="1"/>
  <c r="R269" i="1"/>
  <c r="R268" i="1"/>
  <c r="R267" i="1"/>
  <c r="R264" i="1"/>
  <c r="R263" i="1"/>
  <c r="R258" i="1"/>
  <c r="R257" i="1"/>
  <c r="R256" i="1"/>
  <c r="R254" i="1"/>
  <c r="R253" i="1"/>
  <c r="R252" i="1"/>
  <c r="R251" i="1"/>
  <c r="R250" i="1"/>
  <c r="R249" i="1"/>
  <c r="R248" i="1"/>
  <c r="R247" i="1"/>
  <c r="R245" i="1"/>
  <c r="R241" i="1"/>
  <c r="R240" i="1"/>
  <c r="R239" i="1"/>
  <c r="R238" i="1"/>
  <c r="R237" i="1"/>
  <c r="R232" i="1"/>
  <c r="R230" i="1"/>
  <c r="R228" i="1"/>
  <c r="R227" i="1"/>
  <c r="R226" i="1"/>
  <c r="R225" i="1"/>
  <c r="R224" i="1"/>
  <c r="R223" i="1"/>
  <c r="R222" i="1"/>
  <c r="R221" i="1"/>
  <c r="R220" i="1"/>
  <c r="R218" i="1"/>
  <c r="R217" i="1"/>
  <c r="R216" i="1"/>
  <c r="R213" i="1"/>
  <c r="R210" i="1"/>
  <c r="R208" i="1"/>
  <c r="R207" i="1"/>
  <c r="R205" i="1"/>
  <c r="R204" i="1"/>
  <c r="R203" i="1"/>
  <c r="R201" i="1"/>
  <c r="R200" i="1"/>
  <c r="R199" i="1"/>
  <c r="R198" i="1"/>
  <c r="R195" i="1"/>
  <c r="R194" i="1"/>
  <c r="R193" i="1"/>
  <c r="R192" i="1"/>
  <c r="R191" i="1"/>
  <c r="R190" i="1"/>
  <c r="R189" i="1"/>
  <c r="R188" i="1"/>
  <c r="R187" i="1"/>
  <c r="R185" i="1"/>
  <c r="R184" i="1"/>
  <c r="R183" i="1"/>
  <c r="R182" i="1"/>
  <c r="R180" i="1"/>
  <c r="R175" i="1"/>
  <c r="R172" i="1"/>
  <c r="R171" i="1"/>
  <c r="R170" i="1"/>
  <c r="R168" i="1"/>
  <c r="R166" i="1"/>
  <c r="R165" i="1"/>
  <c r="R162" i="1"/>
  <c r="R161" i="1"/>
  <c r="R157" i="1"/>
  <c r="R156" i="1"/>
  <c r="R154" i="1"/>
  <c r="R153" i="1"/>
  <c r="R152" i="1"/>
  <c r="R151" i="1"/>
  <c r="R150" i="1"/>
  <c r="R149" i="1"/>
  <c r="R148" i="1"/>
  <c r="R146" i="1"/>
  <c r="R143" i="1"/>
  <c r="R142" i="1"/>
  <c r="R141" i="1"/>
  <c r="R139" i="1"/>
  <c r="R135" i="1"/>
  <c r="R134" i="1"/>
  <c r="R130" i="1"/>
  <c r="R129" i="1"/>
  <c r="R127" i="1"/>
  <c r="R124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6" i="1"/>
  <c r="R104" i="1"/>
  <c r="R101" i="1"/>
  <c r="R100" i="1"/>
  <c r="R99" i="1"/>
  <c r="R98" i="1"/>
  <c r="R95" i="1"/>
  <c r="R94" i="1"/>
  <c r="R93" i="1"/>
  <c r="R90" i="1"/>
  <c r="R89" i="1"/>
  <c r="R88" i="1"/>
  <c r="R87" i="1"/>
  <c r="R84" i="1"/>
  <c r="R82" i="1"/>
  <c r="R81" i="1"/>
  <c r="R80" i="1"/>
  <c r="R79" i="1"/>
  <c r="R78" i="1"/>
  <c r="R76" i="1"/>
  <c r="R74" i="1"/>
  <c r="R73" i="1"/>
  <c r="R72" i="1"/>
  <c r="R71" i="1"/>
  <c r="R70" i="1"/>
  <c r="R69" i="1"/>
  <c r="R68" i="1"/>
  <c r="R67" i="1"/>
  <c r="R66" i="1"/>
  <c r="R64" i="1"/>
  <c r="R63" i="1"/>
  <c r="R62" i="1"/>
  <c r="R59" i="1"/>
  <c r="R58" i="1"/>
  <c r="R57" i="1"/>
  <c r="R56" i="1"/>
  <c r="R54" i="1"/>
  <c r="R53" i="1"/>
  <c r="R52" i="1"/>
  <c r="R51" i="1"/>
  <c r="R49" i="1"/>
  <c r="R48" i="1"/>
  <c r="R47" i="1"/>
  <c r="R46" i="1"/>
  <c r="R45" i="1"/>
  <c r="R43" i="1"/>
  <c r="R42" i="1"/>
  <c r="R41" i="1"/>
  <c r="R37" i="1"/>
  <c r="R34" i="1"/>
  <c r="R33" i="1"/>
  <c r="R30" i="1"/>
  <c r="R8" i="1"/>
  <c r="R6" i="1"/>
  <c r="R4" i="1"/>
  <c r="R2" i="1"/>
  <c r="R23" i="1"/>
  <c r="R22" i="1"/>
  <c r="R20" i="1"/>
  <c r="R19" i="1"/>
  <c r="R18" i="1"/>
  <c r="R16" i="1"/>
  <c r="R13" i="1"/>
  <c r="R12" i="1"/>
  <c r="R9" i="1"/>
  <c r="Q2" i="1"/>
  <c r="P1200" i="1"/>
  <c r="P1199" i="1"/>
  <c r="P1197" i="1"/>
  <c r="P1193" i="1"/>
  <c r="P1192" i="1"/>
  <c r="P1186" i="1"/>
  <c r="P1184" i="1"/>
  <c r="P1183" i="1"/>
  <c r="P1182" i="1"/>
  <c r="P1179" i="1"/>
  <c r="P1178" i="1"/>
  <c r="P1177" i="1"/>
  <c r="P1175" i="1"/>
  <c r="P1174" i="1"/>
  <c r="P1173" i="1"/>
  <c r="P1171" i="1"/>
  <c r="P1169" i="1"/>
  <c r="P1168" i="1"/>
  <c r="P1167" i="1"/>
  <c r="P1165" i="1"/>
  <c r="P1164" i="1"/>
  <c r="P1161" i="1"/>
  <c r="P1160" i="1"/>
  <c r="P1159" i="1"/>
  <c r="P1157" i="1"/>
  <c r="P1156" i="1"/>
  <c r="P1154" i="1"/>
  <c r="P1153" i="1"/>
  <c r="P1152" i="1"/>
  <c r="P1151" i="1"/>
  <c r="P1150" i="1"/>
  <c r="P1149" i="1"/>
  <c r="P1148" i="1"/>
  <c r="P1146" i="1"/>
  <c r="P1145" i="1"/>
  <c r="P1143" i="1"/>
  <c r="P1142" i="1"/>
  <c r="P1141" i="1"/>
  <c r="P1140" i="1"/>
  <c r="P1139" i="1"/>
  <c r="P1138" i="1"/>
  <c r="P1136" i="1"/>
  <c r="P1135" i="1"/>
  <c r="P1133" i="1"/>
  <c r="P1132" i="1"/>
  <c r="P1131" i="1"/>
  <c r="P1130" i="1"/>
  <c r="P1129" i="1"/>
  <c r="P1128" i="1"/>
  <c r="P1126" i="1"/>
  <c r="P1124" i="1"/>
  <c r="P1120" i="1"/>
  <c r="P1119" i="1"/>
  <c r="P1117" i="1"/>
  <c r="P1116" i="1"/>
  <c r="P1113" i="1"/>
  <c r="P1112" i="1"/>
  <c r="P1110" i="1"/>
  <c r="P1109" i="1"/>
  <c r="P1106" i="1"/>
  <c r="P1103" i="1"/>
  <c r="P1102" i="1"/>
  <c r="P1100" i="1"/>
  <c r="P1096" i="1"/>
  <c r="P1094" i="1"/>
  <c r="P1093" i="1"/>
  <c r="P1092" i="1"/>
  <c r="P1090" i="1"/>
  <c r="P1088" i="1"/>
  <c r="P1087" i="1"/>
  <c r="P1086" i="1"/>
  <c r="P1084" i="1"/>
  <c r="P1083" i="1"/>
  <c r="P1082" i="1"/>
  <c r="P1081" i="1"/>
  <c r="P1078" i="1"/>
  <c r="P1077" i="1"/>
  <c r="P1073" i="1"/>
  <c r="P1071" i="1"/>
  <c r="P1067" i="1"/>
  <c r="P1066" i="1"/>
  <c r="P1065" i="1"/>
  <c r="P1063" i="1"/>
  <c r="P1062" i="1"/>
  <c r="P1061" i="1"/>
  <c r="P1059" i="1"/>
  <c r="P1058" i="1"/>
  <c r="P1055" i="1"/>
  <c r="P1054" i="1"/>
  <c r="P1049" i="1"/>
  <c r="P1048" i="1"/>
  <c r="P1047" i="1"/>
  <c r="P1044" i="1"/>
  <c r="P1043" i="1"/>
  <c r="P1042" i="1"/>
  <c r="P1041" i="1"/>
  <c r="P1040" i="1"/>
  <c r="P1039" i="1"/>
  <c r="P1037" i="1"/>
  <c r="P1036" i="1"/>
  <c r="P1035" i="1"/>
  <c r="P1033" i="1"/>
  <c r="P1032" i="1"/>
  <c r="P1031" i="1"/>
  <c r="P1030" i="1"/>
  <c r="P1024" i="1"/>
  <c r="P1023" i="1"/>
  <c r="P1022" i="1"/>
  <c r="P1020" i="1"/>
  <c r="P1019" i="1"/>
  <c r="P1018" i="1"/>
  <c r="P1017" i="1"/>
  <c r="P1016" i="1"/>
  <c r="P1015" i="1"/>
  <c r="P1013" i="1"/>
  <c r="P1012" i="1"/>
  <c r="P1009" i="1"/>
  <c r="P1007" i="1"/>
  <c r="P1004" i="1"/>
  <c r="P1002" i="1"/>
  <c r="P1000" i="1"/>
  <c r="P998" i="1"/>
  <c r="P996" i="1"/>
  <c r="P995" i="1"/>
  <c r="P994" i="1"/>
  <c r="P993" i="1"/>
  <c r="P992" i="1"/>
  <c r="P991" i="1"/>
  <c r="P990" i="1"/>
  <c r="P989" i="1"/>
  <c r="P988" i="1"/>
  <c r="P986" i="1"/>
  <c r="P985" i="1"/>
  <c r="P983" i="1"/>
  <c r="P981" i="1"/>
  <c r="P980" i="1"/>
  <c r="P978" i="1"/>
  <c r="P976" i="1"/>
  <c r="P974" i="1"/>
  <c r="P973" i="1"/>
  <c r="P971" i="1"/>
  <c r="P970" i="1"/>
  <c r="P969" i="1"/>
  <c r="P967" i="1"/>
  <c r="P965" i="1"/>
  <c r="P962" i="1"/>
  <c r="P960" i="1"/>
  <c r="P959" i="1"/>
  <c r="P957" i="1"/>
  <c r="P949" i="1"/>
  <c r="P948" i="1"/>
  <c r="P947" i="1"/>
  <c r="P946" i="1"/>
  <c r="P945" i="1"/>
  <c r="P943" i="1"/>
  <c r="P942" i="1"/>
  <c r="P941" i="1"/>
  <c r="P939" i="1"/>
  <c r="P937" i="1"/>
  <c r="P936" i="1"/>
  <c r="P934" i="1"/>
  <c r="P933" i="1"/>
  <c r="P929" i="1"/>
  <c r="P928" i="1"/>
  <c r="P926" i="1"/>
  <c r="P922" i="1"/>
  <c r="P919" i="1"/>
  <c r="P916" i="1"/>
  <c r="P915" i="1"/>
  <c r="P913" i="1"/>
  <c r="P912" i="1"/>
  <c r="P910" i="1"/>
  <c r="P909" i="1"/>
  <c r="P908" i="1"/>
  <c r="P907" i="1"/>
  <c r="P906" i="1"/>
  <c r="P904" i="1"/>
  <c r="P903" i="1"/>
  <c r="P901" i="1"/>
  <c r="P899" i="1"/>
  <c r="P898" i="1"/>
  <c r="P897" i="1"/>
  <c r="P896" i="1"/>
  <c r="P895" i="1"/>
  <c r="P892" i="1"/>
  <c r="P891" i="1"/>
  <c r="P890" i="1"/>
  <c r="P889" i="1"/>
  <c r="P888" i="1"/>
  <c r="P887" i="1"/>
  <c r="P884" i="1"/>
  <c r="P883" i="1"/>
  <c r="P882" i="1"/>
  <c r="P881" i="1"/>
  <c r="P880" i="1"/>
  <c r="P878" i="1"/>
  <c r="P877" i="1"/>
  <c r="P875" i="1"/>
  <c r="P874" i="1"/>
  <c r="P873" i="1"/>
  <c r="P872" i="1"/>
  <c r="P871" i="1"/>
  <c r="P870" i="1"/>
  <c r="P868" i="1"/>
  <c r="P865" i="1"/>
  <c r="P864" i="1"/>
  <c r="P863" i="1"/>
  <c r="P862" i="1"/>
  <c r="P861" i="1"/>
  <c r="P860" i="1"/>
  <c r="P858" i="1"/>
  <c r="P857" i="1"/>
  <c r="P856" i="1"/>
  <c r="P854" i="1"/>
  <c r="P851" i="1"/>
  <c r="P849" i="1"/>
  <c r="P847" i="1"/>
  <c r="P846" i="1"/>
  <c r="P844" i="1"/>
  <c r="P841" i="1"/>
  <c r="P837" i="1"/>
  <c r="P835" i="1"/>
  <c r="P834" i="1"/>
  <c r="P833" i="1"/>
  <c r="P832" i="1"/>
  <c r="P827" i="1"/>
  <c r="P824" i="1"/>
  <c r="P823" i="1"/>
  <c r="P822" i="1"/>
  <c r="P821" i="1"/>
  <c r="P815" i="1"/>
  <c r="P814" i="1"/>
  <c r="P813" i="1"/>
  <c r="P812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7" i="1"/>
  <c r="P794" i="1"/>
  <c r="P793" i="1"/>
  <c r="P791" i="1"/>
  <c r="P790" i="1"/>
  <c r="P789" i="1"/>
  <c r="P787" i="1"/>
  <c r="P786" i="1"/>
  <c r="P785" i="1"/>
  <c r="P782" i="1"/>
  <c r="P781" i="1"/>
  <c r="P780" i="1"/>
  <c r="P776" i="1"/>
  <c r="P774" i="1"/>
  <c r="P773" i="1"/>
  <c r="P769" i="1"/>
  <c r="P767" i="1"/>
  <c r="P766" i="1"/>
  <c r="P765" i="1"/>
  <c r="P764" i="1"/>
  <c r="P763" i="1"/>
  <c r="P762" i="1"/>
  <c r="P761" i="1"/>
  <c r="P756" i="1"/>
  <c r="P755" i="1"/>
  <c r="P754" i="1"/>
  <c r="P753" i="1"/>
  <c r="P752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4" i="1"/>
  <c r="P733" i="1"/>
  <c r="P731" i="1"/>
  <c r="P729" i="1"/>
  <c r="P727" i="1"/>
  <c r="P726" i="1"/>
  <c r="P724" i="1"/>
  <c r="P723" i="1"/>
  <c r="P722" i="1"/>
  <c r="P720" i="1"/>
  <c r="P719" i="1"/>
  <c r="P716" i="1"/>
  <c r="P714" i="1"/>
  <c r="P712" i="1"/>
  <c r="P709" i="1"/>
  <c r="P708" i="1"/>
  <c r="P707" i="1"/>
  <c r="P706" i="1"/>
  <c r="P705" i="1"/>
  <c r="P704" i="1"/>
  <c r="P701" i="1"/>
  <c r="P700" i="1"/>
  <c r="P699" i="1"/>
  <c r="P696" i="1"/>
  <c r="P690" i="1"/>
  <c r="P687" i="1"/>
  <c r="P686" i="1"/>
  <c r="P685" i="1"/>
  <c r="P684" i="1"/>
  <c r="P683" i="1"/>
  <c r="P681" i="1"/>
  <c r="P680" i="1"/>
  <c r="P679" i="1"/>
  <c r="P678" i="1"/>
  <c r="P677" i="1"/>
  <c r="P676" i="1"/>
  <c r="P675" i="1"/>
  <c r="P672" i="1"/>
  <c r="P669" i="1"/>
  <c r="P668" i="1"/>
  <c r="P666" i="1"/>
  <c r="P665" i="1"/>
  <c r="P663" i="1"/>
  <c r="P660" i="1"/>
  <c r="P659" i="1"/>
  <c r="P658" i="1"/>
  <c r="P656" i="1"/>
  <c r="P654" i="1"/>
  <c r="P652" i="1"/>
  <c r="P650" i="1"/>
  <c r="P649" i="1"/>
  <c r="P647" i="1"/>
  <c r="P646" i="1"/>
  <c r="P645" i="1"/>
  <c r="P644" i="1"/>
  <c r="P642" i="1"/>
  <c r="P639" i="1"/>
  <c r="P638" i="1"/>
  <c r="P635" i="1"/>
  <c r="P633" i="1"/>
  <c r="P632" i="1"/>
  <c r="P630" i="1"/>
  <c r="P628" i="1"/>
  <c r="P626" i="1"/>
  <c r="P624" i="1"/>
  <c r="P623" i="1"/>
  <c r="P622" i="1"/>
  <c r="P620" i="1"/>
  <c r="P618" i="1"/>
  <c r="P617" i="1"/>
  <c r="P616" i="1"/>
  <c r="P615" i="1"/>
  <c r="P614" i="1"/>
  <c r="P611" i="1"/>
  <c r="P610" i="1"/>
  <c r="P609" i="1"/>
  <c r="P608" i="1"/>
  <c r="P605" i="1"/>
  <c r="P604" i="1"/>
  <c r="P603" i="1"/>
  <c r="P602" i="1"/>
  <c r="P601" i="1"/>
  <c r="P597" i="1"/>
  <c r="P594" i="1"/>
  <c r="P593" i="1"/>
  <c r="P592" i="1"/>
  <c r="P589" i="1"/>
  <c r="P586" i="1"/>
  <c r="P584" i="1"/>
  <c r="P582" i="1"/>
  <c r="P581" i="1"/>
  <c r="P580" i="1"/>
  <c r="P579" i="1"/>
  <c r="P577" i="1"/>
  <c r="P576" i="1"/>
  <c r="P575" i="1"/>
  <c r="P572" i="1"/>
  <c r="P571" i="1"/>
  <c r="P569" i="1"/>
  <c r="P567" i="1"/>
  <c r="P564" i="1"/>
  <c r="P563" i="1"/>
  <c r="P561" i="1"/>
  <c r="P560" i="1"/>
  <c r="P558" i="1"/>
  <c r="P555" i="1"/>
  <c r="P553" i="1"/>
  <c r="P548" i="1"/>
  <c r="P547" i="1"/>
  <c r="P545" i="1"/>
  <c r="P544" i="1"/>
  <c r="P543" i="1"/>
  <c r="P540" i="1"/>
  <c r="P539" i="1"/>
  <c r="P536" i="1"/>
  <c r="P535" i="1"/>
  <c r="P534" i="1"/>
  <c r="P532" i="1"/>
  <c r="P530" i="1"/>
  <c r="P529" i="1"/>
  <c r="P527" i="1"/>
  <c r="P525" i="1"/>
  <c r="P524" i="1"/>
  <c r="P523" i="1"/>
  <c r="P521" i="1"/>
  <c r="P520" i="1"/>
  <c r="P519" i="1"/>
  <c r="P517" i="1"/>
  <c r="P516" i="1"/>
  <c r="P512" i="1"/>
  <c r="P511" i="1"/>
  <c r="P506" i="1"/>
  <c r="P505" i="1"/>
  <c r="P501" i="1"/>
  <c r="P499" i="1"/>
  <c r="P496" i="1"/>
  <c r="P494" i="1"/>
  <c r="P493" i="1"/>
  <c r="P491" i="1"/>
  <c r="P490" i="1"/>
  <c r="P489" i="1"/>
  <c r="P488" i="1"/>
  <c r="P485" i="1"/>
  <c r="P483" i="1"/>
  <c r="P480" i="1"/>
  <c r="P479" i="1"/>
  <c r="P478" i="1"/>
  <c r="P477" i="1"/>
  <c r="P476" i="1"/>
  <c r="P475" i="1"/>
  <c r="P472" i="1"/>
  <c r="P467" i="1"/>
  <c r="P465" i="1"/>
  <c r="P464" i="1"/>
  <c r="P462" i="1"/>
  <c r="P461" i="1"/>
  <c r="P459" i="1"/>
  <c r="P458" i="1"/>
  <c r="P455" i="1"/>
  <c r="P454" i="1"/>
  <c r="P452" i="1"/>
  <c r="P450" i="1"/>
  <c r="P449" i="1"/>
  <c r="P448" i="1"/>
  <c r="P446" i="1"/>
  <c r="P445" i="1"/>
  <c r="P443" i="1"/>
  <c r="P442" i="1"/>
  <c r="P441" i="1"/>
  <c r="P440" i="1"/>
  <c r="P439" i="1"/>
  <c r="P438" i="1"/>
  <c r="P437" i="1"/>
  <c r="P435" i="1"/>
  <c r="P433" i="1"/>
  <c r="P432" i="1"/>
  <c r="P431" i="1"/>
  <c r="P428" i="1"/>
  <c r="P427" i="1"/>
  <c r="P426" i="1"/>
  <c r="P424" i="1"/>
  <c r="P422" i="1"/>
  <c r="P421" i="1"/>
  <c r="P419" i="1"/>
  <c r="P418" i="1"/>
  <c r="P417" i="1"/>
  <c r="P416" i="1"/>
  <c r="P415" i="1"/>
  <c r="P414" i="1"/>
  <c r="P413" i="1"/>
  <c r="P411" i="1"/>
  <c r="P408" i="1"/>
  <c r="P407" i="1"/>
  <c r="P406" i="1"/>
  <c r="P403" i="1"/>
  <c r="P402" i="1"/>
  <c r="P401" i="1"/>
  <c r="P399" i="1"/>
  <c r="P397" i="1"/>
  <c r="P396" i="1"/>
  <c r="P395" i="1"/>
  <c r="P394" i="1"/>
  <c r="P393" i="1"/>
  <c r="P391" i="1"/>
  <c r="P390" i="1"/>
  <c r="P389" i="1"/>
  <c r="P388" i="1"/>
  <c r="P387" i="1"/>
  <c r="P385" i="1"/>
  <c r="P382" i="1"/>
  <c r="P381" i="1"/>
  <c r="P379" i="1"/>
  <c r="P377" i="1"/>
  <c r="P375" i="1"/>
  <c r="P372" i="1"/>
  <c r="P371" i="1"/>
  <c r="P370" i="1"/>
  <c r="P367" i="1"/>
  <c r="P366" i="1"/>
  <c r="P362" i="1"/>
  <c r="P360" i="1"/>
  <c r="P359" i="1"/>
  <c r="P358" i="1"/>
  <c r="P357" i="1"/>
  <c r="P354" i="1"/>
  <c r="P353" i="1"/>
  <c r="P351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2" i="1"/>
  <c r="P331" i="1"/>
  <c r="P330" i="1"/>
  <c r="P329" i="1"/>
  <c r="P327" i="1"/>
  <c r="P324" i="1"/>
  <c r="P323" i="1"/>
  <c r="P321" i="1"/>
  <c r="P319" i="1"/>
  <c r="P316" i="1"/>
  <c r="P315" i="1"/>
  <c r="P314" i="1"/>
  <c r="P311" i="1"/>
  <c r="P310" i="1"/>
  <c r="P309" i="1"/>
  <c r="P306" i="1"/>
  <c r="P305" i="1"/>
  <c r="P304" i="1"/>
  <c r="P303" i="1"/>
  <c r="P300" i="1"/>
  <c r="P298" i="1"/>
  <c r="P297" i="1"/>
  <c r="P295" i="1"/>
  <c r="P292" i="1"/>
  <c r="P289" i="1"/>
  <c r="P288" i="1"/>
  <c r="P287" i="1"/>
  <c r="P284" i="1"/>
  <c r="P283" i="1"/>
  <c r="P278" i="1"/>
  <c r="P277" i="1"/>
  <c r="P275" i="1"/>
  <c r="P271" i="1"/>
  <c r="P269" i="1"/>
  <c r="P268" i="1"/>
  <c r="P267" i="1"/>
  <c r="P264" i="1"/>
  <c r="P263" i="1"/>
  <c r="P258" i="1"/>
  <c r="P257" i="1"/>
  <c r="P256" i="1"/>
  <c r="P254" i="1"/>
  <c r="P253" i="1"/>
  <c r="P252" i="1"/>
  <c r="P251" i="1"/>
  <c r="P250" i="1"/>
  <c r="P249" i="1"/>
  <c r="P248" i="1"/>
  <c r="P247" i="1"/>
  <c r="P245" i="1"/>
  <c r="P241" i="1"/>
  <c r="P240" i="1"/>
  <c r="P239" i="1"/>
  <c r="P238" i="1"/>
  <c r="P237" i="1"/>
  <c r="P232" i="1"/>
  <c r="P230" i="1"/>
  <c r="P228" i="1"/>
  <c r="P227" i="1"/>
  <c r="P226" i="1"/>
  <c r="P225" i="1"/>
  <c r="P224" i="1"/>
  <c r="P223" i="1"/>
  <c r="P222" i="1"/>
  <c r="P221" i="1"/>
  <c r="P220" i="1"/>
  <c r="P218" i="1"/>
  <c r="P217" i="1"/>
  <c r="P216" i="1"/>
  <c r="P213" i="1"/>
  <c r="P210" i="1"/>
  <c r="P208" i="1"/>
  <c r="P207" i="1"/>
  <c r="P205" i="1"/>
  <c r="P204" i="1"/>
  <c r="P203" i="1"/>
  <c r="P201" i="1"/>
  <c r="P200" i="1"/>
  <c r="P199" i="1"/>
  <c r="P198" i="1"/>
  <c r="P195" i="1"/>
  <c r="P194" i="1"/>
  <c r="P193" i="1"/>
  <c r="P192" i="1"/>
  <c r="P191" i="1"/>
  <c r="P190" i="1"/>
  <c r="P189" i="1"/>
  <c r="P188" i="1"/>
  <c r="P187" i="1"/>
  <c r="P185" i="1"/>
  <c r="P184" i="1"/>
  <c r="P183" i="1"/>
  <c r="P182" i="1"/>
  <c r="P180" i="1"/>
  <c r="P175" i="1"/>
  <c r="P172" i="1"/>
  <c r="P171" i="1"/>
  <c r="P170" i="1"/>
  <c r="P168" i="1"/>
  <c r="P166" i="1"/>
  <c r="P165" i="1"/>
  <c r="P162" i="1"/>
  <c r="P161" i="1"/>
  <c r="P157" i="1"/>
  <c r="P156" i="1"/>
  <c r="P154" i="1"/>
  <c r="P153" i="1"/>
  <c r="P152" i="1"/>
  <c r="P151" i="1"/>
  <c r="P150" i="1"/>
  <c r="P149" i="1"/>
  <c r="P148" i="1"/>
  <c r="P146" i="1"/>
  <c r="P143" i="1"/>
  <c r="P142" i="1"/>
  <c r="P141" i="1"/>
  <c r="P139" i="1"/>
  <c r="P135" i="1"/>
  <c r="P134" i="1"/>
  <c r="P130" i="1"/>
  <c r="P129" i="1"/>
  <c r="P127" i="1"/>
  <c r="P124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6" i="1"/>
  <c r="P104" i="1"/>
  <c r="P101" i="1"/>
  <c r="P100" i="1"/>
  <c r="P99" i="1"/>
  <c r="P98" i="1"/>
  <c r="P95" i="1"/>
  <c r="P94" i="1"/>
  <c r="P93" i="1"/>
  <c r="P90" i="1"/>
  <c r="P89" i="1"/>
  <c r="P88" i="1"/>
  <c r="P87" i="1"/>
  <c r="P84" i="1"/>
  <c r="P82" i="1"/>
  <c r="P81" i="1"/>
  <c r="P80" i="1"/>
  <c r="P79" i="1"/>
  <c r="P78" i="1"/>
  <c r="P76" i="1"/>
  <c r="P74" i="1"/>
  <c r="P73" i="1"/>
  <c r="P72" i="1"/>
  <c r="P71" i="1"/>
  <c r="P70" i="1"/>
  <c r="P69" i="1"/>
  <c r="P68" i="1"/>
  <c r="P67" i="1"/>
  <c r="P66" i="1"/>
  <c r="P64" i="1"/>
  <c r="P63" i="1"/>
  <c r="P62" i="1"/>
  <c r="P59" i="1"/>
  <c r="P58" i="1"/>
  <c r="P57" i="1"/>
  <c r="P56" i="1"/>
  <c r="P54" i="1"/>
  <c r="P53" i="1"/>
  <c r="P52" i="1"/>
  <c r="P51" i="1"/>
  <c r="P49" i="1"/>
  <c r="P48" i="1"/>
  <c r="P47" i="1"/>
  <c r="P46" i="1"/>
  <c r="P45" i="1"/>
  <c r="P43" i="1"/>
  <c r="P42" i="1"/>
  <c r="P41" i="1"/>
  <c r="P37" i="1"/>
  <c r="P34" i="1"/>
  <c r="P33" i="1"/>
  <c r="P30" i="1"/>
  <c r="P23" i="1"/>
  <c r="P22" i="1"/>
  <c r="P20" i="1"/>
  <c r="P19" i="1"/>
  <c r="P18" i="1"/>
  <c r="P16" i="1"/>
  <c r="P13" i="1"/>
  <c r="P12" i="1"/>
  <c r="P9" i="1"/>
  <c r="P8" i="1"/>
  <c r="P6" i="1"/>
  <c r="P4" i="1"/>
  <c r="P2" i="1"/>
  <c r="N1200" i="1"/>
  <c r="N1199" i="1"/>
  <c r="N1197" i="1"/>
  <c r="N1193" i="1"/>
  <c r="N1192" i="1"/>
  <c r="N1186" i="1"/>
  <c r="N1184" i="1"/>
  <c r="N1183" i="1"/>
  <c r="N1182" i="1"/>
  <c r="N1179" i="1"/>
  <c r="N1178" i="1"/>
  <c r="N1177" i="1"/>
  <c r="N1175" i="1"/>
  <c r="N1174" i="1"/>
  <c r="N1173" i="1"/>
  <c r="N1171" i="1"/>
  <c r="N1169" i="1"/>
  <c r="N1168" i="1"/>
  <c r="N1167" i="1"/>
  <c r="N1165" i="1"/>
  <c r="N1164" i="1"/>
  <c r="N1161" i="1"/>
  <c r="N1160" i="1"/>
  <c r="N1159" i="1"/>
  <c r="N1157" i="1"/>
  <c r="N1156" i="1"/>
  <c r="N1154" i="1"/>
  <c r="N1153" i="1"/>
  <c r="N1152" i="1"/>
  <c r="N1151" i="1"/>
  <c r="N1150" i="1"/>
  <c r="N1149" i="1"/>
  <c r="N1148" i="1"/>
  <c r="N1146" i="1"/>
  <c r="N1145" i="1"/>
  <c r="N1143" i="1"/>
  <c r="N1142" i="1"/>
  <c r="N1141" i="1"/>
  <c r="N1140" i="1"/>
  <c r="N1139" i="1"/>
  <c r="N1138" i="1"/>
  <c r="N1136" i="1"/>
  <c r="N1135" i="1"/>
  <c r="N1133" i="1"/>
  <c r="N1132" i="1"/>
  <c r="N1131" i="1"/>
  <c r="N1130" i="1"/>
  <c r="N1129" i="1"/>
  <c r="N1128" i="1"/>
  <c r="N1126" i="1"/>
  <c r="N1124" i="1"/>
  <c r="N1120" i="1"/>
  <c r="N1119" i="1"/>
  <c r="N1117" i="1"/>
  <c r="N1116" i="1"/>
  <c r="N1113" i="1"/>
  <c r="N1112" i="1"/>
  <c r="N1110" i="1"/>
  <c r="N1109" i="1"/>
  <c r="N1106" i="1"/>
  <c r="N1103" i="1"/>
  <c r="N1102" i="1"/>
  <c r="N1100" i="1"/>
  <c r="N1096" i="1"/>
  <c r="N1094" i="1"/>
  <c r="N1093" i="1"/>
  <c r="N1092" i="1"/>
  <c r="N1090" i="1"/>
  <c r="N1088" i="1"/>
  <c r="N1087" i="1"/>
  <c r="N1086" i="1"/>
  <c r="N1084" i="1"/>
  <c r="N1083" i="1"/>
  <c r="N1082" i="1"/>
  <c r="N1081" i="1"/>
  <c r="N1078" i="1"/>
  <c r="N1077" i="1"/>
  <c r="N1073" i="1"/>
  <c r="N1071" i="1"/>
  <c r="N1067" i="1"/>
  <c r="N1066" i="1"/>
  <c r="N1065" i="1"/>
  <c r="N1063" i="1"/>
  <c r="N1062" i="1"/>
  <c r="N1061" i="1"/>
  <c r="N1059" i="1"/>
  <c r="N1058" i="1"/>
  <c r="N1055" i="1"/>
  <c r="N1054" i="1"/>
  <c r="N1049" i="1"/>
  <c r="N1048" i="1"/>
  <c r="N1047" i="1"/>
  <c r="N1044" i="1"/>
  <c r="N1043" i="1"/>
  <c r="N1042" i="1"/>
  <c r="N1041" i="1"/>
  <c r="N1040" i="1"/>
  <c r="N1039" i="1"/>
  <c r="N1037" i="1"/>
  <c r="N1036" i="1"/>
  <c r="N1035" i="1"/>
  <c r="N1033" i="1"/>
  <c r="N1032" i="1"/>
  <c r="N1031" i="1"/>
  <c r="N1030" i="1"/>
  <c r="N1024" i="1"/>
  <c r="N1023" i="1"/>
  <c r="N1022" i="1"/>
  <c r="N1020" i="1"/>
  <c r="N1019" i="1"/>
  <c r="N1018" i="1"/>
  <c r="N1017" i="1"/>
  <c r="N1016" i="1"/>
  <c r="N1015" i="1"/>
  <c r="N1013" i="1"/>
  <c r="N1012" i="1"/>
  <c r="N1009" i="1"/>
  <c r="N1007" i="1"/>
  <c r="N1004" i="1"/>
  <c r="N1002" i="1"/>
  <c r="N1000" i="1"/>
  <c r="N998" i="1"/>
  <c r="N996" i="1"/>
  <c r="N995" i="1"/>
  <c r="N994" i="1"/>
  <c r="N993" i="1"/>
  <c r="N992" i="1"/>
  <c r="N991" i="1"/>
  <c r="N990" i="1"/>
  <c r="N989" i="1"/>
  <c r="N988" i="1"/>
  <c r="N986" i="1"/>
  <c r="N985" i="1"/>
  <c r="N983" i="1"/>
  <c r="N981" i="1"/>
  <c r="N980" i="1"/>
  <c r="N978" i="1"/>
  <c r="N976" i="1"/>
  <c r="N974" i="1"/>
  <c r="N973" i="1"/>
  <c r="N971" i="1"/>
  <c r="N970" i="1"/>
  <c r="N969" i="1"/>
  <c r="N967" i="1"/>
  <c r="N965" i="1"/>
  <c r="N962" i="1"/>
  <c r="N960" i="1"/>
  <c r="N959" i="1"/>
  <c r="N957" i="1"/>
  <c r="N949" i="1"/>
  <c r="N948" i="1"/>
  <c r="N947" i="1"/>
  <c r="N946" i="1"/>
  <c r="N945" i="1"/>
  <c r="N943" i="1"/>
  <c r="N942" i="1"/>
  <c r="N941" i="1"/>
  <c r="N939" i="1"/>
  <c r="N937" i="1"/>
  <c r="N936" i="1"/>
  <c r="N934" i="1"/>
  <c r="N933" i="1"/>
  <c r="N929" i="1"/>
  <c r="N928" i="1"/>
  <c r="N926" i="1"/>
  <c r="N922" i="1"/>
  <c r="N919" i="1"/>
  <c r="N916" i="1"/>
  <c r="N915" i="1"/>
  <c r="N913" i="1"/>
  <c r="N912" i="1"/>
  <c r="N910" i="1"/>
  <c r="N909" i="1"/>
  <c r="N908" i="1"/>
  <c r="N907" i="1"/>
  <c r="N906" i="1"/>
  <c r="N904" i="1"/>
  <c r="N903" i="1"/>
  <c r="N901" i="1"/>
  <c r="N899" i="1"/>
  <c r="N898" i="1"/>
  <c r="N897" i="1"/>
  <c r="N896" i="1"/>
  <c r="N895" i="1"/>
  <c r="N892" i="1"/>
  <c r="N891" i="1"/>
  <c r="N890" i="1"/>
  <c r="N889" i="1"/>
  <c r="N888" i="1"/>
  <c r="N887" i="1"/>
  <c r="N884" i="1"/>
  <c r="N883" i="1"/>
  <c r="N882" i="1"/>
  <c r="N881" i="1"/>
  <c r="N880" i="1"/>
  <c r="N878" i="1"/>
  <c r="N877" i="1"/>
  <c r="N875" i="1"/>
  <c r="N874" i="1"/>
  <c r="N873" i="1"/>
  <c r="N872" i="1"/>
  <c r="N871" i="1"/>
  <c r="N870" i="1"/>
  <c r="N868" i="1"/>
  <c r="N865" i="1"/>
  <c r="N864" i="1"/>
  <c r="N863" i="1"/>
  <c r="N862" i="1"/>
  <c r="N861" i="1"/>
  <c r="N860" i="1"/>
  <c r="N858" i="1"/>
  <c r="N857" i="1"/>
  <c r="N856" i="1"/>
  <c r="N854" i="1"/>
  <c r="N851" i="1"/>
  <c r="N849" i="1"/>
  <c r="N847" i="1"/>
  <c r="N846" i="1"/>
  <c r="N844" i="1"/>
  <c r="N841" i="1"/>
  <c r="N837" i="1"/>
  <c r="N835" i="1"/>
  <c r="N834" i="1"/>
  <c r="N833" i="1"/>
  <c r="N832" i="1"/>
  <c r="N827" i="1"/>
  <c r="N824" i="1"/>
  <c r="N823" i="1"/>
  <c r="N822" i="1"/>
  <c r="N821" i="1"/>
  <c r="N815" i="1"/>
  <c r="N814" i="1"/>
  <c r="N813" i="1"/>
  <c r="N812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7" i="1"/>
  <c r="N794" i="1"/>
  <c r="N793" i="1"/>
  <c r="N791" i="1"/>
  <c r="N790" i="1"/>
  <c r="N789" i="1"/>
  <c r="N787" i="1"/>
  <c r="N786" i="1"/>
  <c r="N785" i="1"/>
  <c r="N782" i="1"/>
  <c r="N781" i="1"/>
  <c r="N780" i="1"/>
  <c r="N776" i="1"/>
  <c r="N774" i="1"/>
  <c r="N773" i="1"/>
  <c r="N769" i="1"/>
  <c r="N767" i="1"/>
  <c r="N766" i="1"/>
  <c r="N765" i="1"/>
  <c r="N764" i="1"/>
  <c r="N763" i="1"/>
  <c r="N762" i="1"/>
  <c r="N761" i="1"/>
  <c r="N756" i="1"/>
  <c r="N755" i="1"/>
  <c r="N754" i="1"/>
  <c r="N753" i="1"/>
  <c r="N752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4" i="1"/>
  <c r="N733" i="1"/>
  <c r="N731" i="1"/>
  <c r="N729" i="1"/>
  <c r="N727" i="1"/>
  <c r="N726" i="1"/>
  <c r="N724" i="1"/>
  <c r="N723" i="1"/>
  <c r="N722" i="1"/>
  <c r="N720" i="1"/>
  <c r="N719" i="1"/>
  <c r="N716" i="1"/>
  <c r="N714" i="1"/>
  <c r="N712" i="1"/>
  <c r="N709" i="1"/>
  <c r="N708" i="1"/>
  <c r="N707" i="1"/>
  <c r="N706" i="1"/>
  <c r="N705" i="1"/>
  <c r="N704" i="1"/>
  <c r="N701" i="1"/>
  <c r="N700" i="1"/>
  <c r="N699" i="1"/>
  <c r="N696" i="1"/>
  <c r="N690" i="1"/>
  <c r="N687" i="1"/>
  <c r="N686" i="1"/>
  <c r="N685" i="1"/>
  <c r="N684" i="1"/>
  <c r="N683" i="1"/>
  <c r="N681" i="1"/>
  <c r="N680" i="1"/>
  <c r="N679" i="1"/>
  <c r="N678" i="1"/>
  <c r="N677" i="1"/>
  <c r="N676" i="1"/>
  <c r="N675" i="1"/>
  <c r="N672" i="1"/>
  <c r="N669" i="1"/>
  <c r="N668" i="1"/>
  <c r="N666" i="1"/>
  <c r="N665" i="1"/>
  <c r="N663" i="1"/>
  <c r="N660" i="1"/>
  <c r="N659" i="1"/>
  <c r="N658" i="1"/>
  <c r="N656" i="1"/>
  <c r="N654" i="1"/>
  <c r="N652" i="1"/>
  <c r="N650" i="1"/>
  <c r="N649" i="1"/>
  <c r="N647" i="1"/>
  <c r="N646" i="1"/>
  <c r="N645" i="1"/>
  <c r="N644" i="1"/>
  <c r="N642" i="1"/>
  <c r="N639" i="1"/>
  <c r="N638" i="1"/>
  <c r="N635" i="1"/>
  <c r="N633" i="1"/>
  <c r="N632" i="1"/>
  <c r="N630" i="1"/>
  <c r="N628" i="1"/>
  <c r="N626" i="1"/>
  <c r="N624" i="1"/>
  <c r="N623" i="1"/>
  <c r="N622" i="1"/>
  <c r="N620" i="1"/>
  <c r="N618" i="1"/>
  <c r="N617" i="1"/>
  <c r="N616" i="1"/>
  <c r="N615" i="1"/>
  <c r="N614" i="1"/>
  <c r="N611" i="1"/>
  <c r="N610" i="1"/>
  <c r="N609" i="1"/>
  <c r="N608" i="1"/>
  <c r="N605" i="1"/>
  <c r="N604" i="1"/>
  <c r="N603" i="1"/>
  <c r="N602" i="1"/>
  <c r="N601" i="1"/>
  <c r="N597" i="1"/>
  <c r="N594" i="1"/>
  <c r="N593" i="1"/>
  <c r="N592" i="1"/>
  <c r="N589" i="1"/>
  <c r="N586" i="1"/>
  <c r="N584" i="1"/>
  <c r="N582" i="1"/>
  <c r="N581" i="1"/>
  <c r="N580" i="1"/>
  <c r="N579" i="1"/>
  <c r="N577" i="1"/>
  <c r="N576" i="1"/>
  <c r="N575" i="1"/>
  <c r="N572" i="1"/>
  <c r="N571" i="1"/>
  <c r="N569" i="1"/>
  <c r="N567" i="1"/>
  <c r="N564" i="1"/>
  <c r="N563" i="1"/>
  <c r="N561" i="1"/>
  <c r="N560" i="1"/>
  <c r="N558" i="1"/>
  <c r="N555" i="1"/>
  <c r="N553" i="1"/>
  <c r="N548" i="1"/>
  <c r="N547" i="1"/>
  <c r="N545" i="1"/>
  <c r="N544" i="1"/>
  <c r="N543" i="1"/>
  <c r="N540" i="1"/>
  <c r="N539" i="1"/>
  <c r="N536" i="1"/>
  <c r="N535" i="1"/>
  <c r="N534" i="1"/>
  <c r="N532" i="1"/>
  <c r="N530" i="1"/>
  <c r="N529" i="1"/>
  <c r="N527" i="1"/>
  <c r="N525" i="1"/>
  <c r="N524" i="1"/>
  <c r="N523" i="1"/>
  <c r="N521" i="1"/>
  <c r="N520" i="1"/>
  <c r="N519" i="1"/>
  <c r="N517" i="1"/>
  <c r="N516" i="1"/>
  <c r="N512" i="1"/>
  <c r="N511" i="1"/>
  <c r="N506" i="1"/>
  <c r="N505" i="1"/>
  <c r="N501" i="1"/>
  <c r="N499" i="1"/>
  <c r="N496" i="1"/>
  <c r="N494" i="1"/>
  <c r="N493" i="1"/>
  <c r="N491" i="1"/>
  <c r="N490" i="1"/>
  <c r="N489" i="1"/>
  <c r="N488" i="1"/>
  <c r="N485" i="1"/>
  <c r="N483" i="1"/>
  <c r="N480" i="1"/>
  <c r="N479" i="1"/>
  <c r="N478" i="1"/>
  <c r="N477" i="1"/>
  <c r="N476" i="1"/>
  <c r="N475" i="1"/>
  <c r="N472" i="1"/>
  <c r="N467" i="1"/>
  <c r="N465" i="1"/>
  <c r="N464" i="1"/>
  <c r="N462" i="1"/>
  <c r="N461" i="1"/>
  <c r="N459" i="1"/>
  <c r="N458" i="1"/>
  <c r="N455" i="1"/>
  <c r="N454" i="1"/>
  <c r="N452" i="1"/>
  <c r="N450" i="1"/>
  <c r="N449" i="1"/>
  <c r="N448" i="1"/>
  <c r="N446" i="1"/>
  <c r="N445" i="1"/>
  <c r="N443" i="1"/>
  <c r="N442" i="1"/>
  <c r="N441" i="1"/>
  <c r="N440" i="1"/>
  <c r="N439" i="1"/>
  <c r="N438" i="1"/>
  <c r="N437" i="1"/>
  <c r="N435" i="1"/>
  <c r="N433" i="1"/>
  <c r="N432" i="1"/>
  <c r="N431" i="1"/>
  <c r="N428" i="1"/>
  <c r="N427" i="1"/>
  <c r="N426" i="1"/>
  <c r="N424" i="1"/>
  <c r="N422" i="1"/>
  <c r="N421" i="1"/>
  <c r="N419" i="1"/>
  <c r="N418" i="1"/>
  <c r="N417" i="1"/>
  <c r="N416" i="1"/>
  <c r="N415" i="1"/>
  <c r="N414" i="1"/>
  <c r="N413" i="1"/>
  <c r="N411" i="1"/>
  <c r="N408" i="1"/>
  <c r="N407" i="1"/>
  <c r="N406" i="1"/>
  <c r="N403" i="1"/>
  <c r="N402" i="1"/>
  <c r="N401" i="1"/>
  <c r="N399" i="1"/>
  <c r="N397" i="1"/>
  <c r="N396" i="1"/>
  <c r="N395" i="1"/>
  <c r="N394" i="1"/>
  <c r="N393" i="1"/>
  <c r="N391" i="1"/>
  <c r="N390" i="1"/>
  <c r="N389" i="1"/>
  <c r="N388" i="1"/>
  <c r="N387" i="1"/>
  <c r="N385" i="1"/>
  <c r="N382" i="1"/>
  <c r="N381" i="1"/>
  <c r="N379" i="1"/>
  <c r="N377" i="1"/>
  <c r="N375" i="1"/>
  <c r="N372" i="1"/>
  <c r="N371" i="1"/>
  <c r="N370" i="1"/>
  <c r="N367" i="1"/>
  <c r="N366" i="1"/>
  <c r="N362" i="1"/>
  <c r="N360" i="1"/>
  <c r="N359" i="1"/>
  <c r="N358" i="1"/>
  <c r="N357" i="1"/>
  <c r="N354" i="1"/>
  <c r="N353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2" i="1"/>
  <c r="N331" i="1"/>
  <c r="N330" i="1"/>
  <c r="N329" i="1"/>
  <c r="N327" i="1"/>
  <c r="N324" i="1"/>
  <c r="N323" i="1"/>
  <c r="N321" i="1"/>
  <c r="N319" i="1"/>
  <c r="N316" i="1"/>
  <c r="N315" i="1"/>
  <c r="N314" i="1"/>
  <c r="N311" i="1"/>
  <c r="N310" i="1"/>
  <c r="N309" i="1"/>
  <c r="N306" i="1"/>
  <c r="N305" i="1"/>
  <c r="N304" i="1"/>
  <c r="N303" i="1"/>
  <c r="N300" i="1"/>
  <c r="N298" i="1"/>
  <c r="N297" i="1"/>
  <c r="N295" i="1"/>
  <c r="N292" i="1"/>
  <c r="N289" i="1"/>
  <c r="N288" i="1"/>
  <c r="N287" i="1"/>
  <c r="N284" i="1"/>
  <c r="N283" i="1"/>
  <c r="N278" i="1"/>
  <c r="N277" i="1"/>
  <c r="N275" i="1"/>
  <c r="N271" i="1"/>
  <c r="N269" i="1"/>
  <c r="N268" i="1"/>
  <c r="N267" i="1"/>
  <c r="N264" i="1"/>
  <c r="N263" i="1"/>
  <c r="N258" i="1"/>
  <c r="N257" i="1"/>
  <c r="N256" i="1"/>
  <c r="N254" i="1"/>
  <c r="N253" i="1"/>
  <c r="N252" i="1"/>
  <c r="N251" i="1"/>
  <c r="N250" i="1"/>
  <c r="N249" i="1"/>
  <c r="N248" i="1"/>
  <c r="N247" i="1"/>
  <c r="N245" i="1"/>
  <c r="N241" i="1"/>
  <c r="N240" i="1"/>
  <c r="N239" i="1"/>
  <c r="N238" i="1"/>
  <c r="N237" i="1"/>
  <c r="N232" i="1"/>
  <c r="N230" i="1"/>
  <c r="N228" i="1"/>
  <c r="N227" i="1"/>
  <c r="N226" i="1"/>
  <c r="N225" i="1"/>
  <c r="N224" i="1"/>
  <c r="N223" i="1"/>
  <c r="N222" i="1"/>
  <c r="N221" i="1"/>
  <c r="N220" i="1"/>
  <c r="N218" i="1"/>
  <c r="N217" i="1"/>
  <c r="N216" i="1"/>
  <c r="N213" i="1"/>
  <c r="N210" i="1"/>
  <c r="N208" i="1"/>
  <c r="N207" i="1"/>
  <c r="N205" i="1"/>
  <c r="N204" i="1"/>
  <c r="N203" i="1"/>
  <c r="N201" i="1"/>
  <c r="N200" i="1"/>
  <c r="N199" i="1"/>
  <c r="N198" i="1"/>
  <c r="N195" i="1"/>
  <c r="N194" i="1"/>
  <c r="N193" i="1"/>
  <c r="N192" i="1"/>
  <c r="N191" i="1"/>
  <c r="N190" i="1"/>
  <c r="N189" i="1"/>
  <c r="N188" i="1"/>
  <c r="N187" i="1"/>
  <c r="N185" i="1"/>
  <c r="N184" i="1"/>
  <c r="N183" i="1"/>
  <c r="N182" i="1"/>
  <c r="N180" i="1"/>
  <c r="N175" i="1"/>
  <c r="N172" i="1"/>
  <c r="N171" i="1"/>
  <c r="N170" i="1"/>
  <c r="N168" i="1"/>
  <c r="N166" i="1"/>
  <c r="N165" i="1"/>
  <c r="N162" i="1"/>
  <c r="N161" i="1"/>
  <c r="N157" i="1"/>
  <c r="N156" i="1"/>
  <c r="N154" i="1"/>
  <c r="N153" i="1"/>
  <c r="N152" i="1"/>
  <c r="N151" i="1"/>
  <c r="N150" i="1"/>
  <c r="N149" i="1"/>
  <c r="N148" i="1"/>
  <c r="N146" i="1"/>
  <c r="N143" i="1"/>
  <c r="N142" i="1"/>
  <c r="N141" i="1"/>
  <c r="N139" i="1"/>
  <c r="N135" i="1"/>
  <c r="N134" i="1"/>
  <c r="N130" i="1"/>
  <c r="N129" i="1"/>
  <c r="N127" i="1"/>
  <c r="N124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6" i="1"/>
  <c r="N104" i="1"/>
  <c r="N101" i="1"/>
  <c r="N100" i="1"/>
  <c r="N99" i="1"/>
  <c r="N98" i="1"/>
  <c r="N95" i="1"/>
  <c r="N94" i="1"/>
  <c r="N93" i="1"/>
  <c r="N90" i="1"/>
  <c r="N89" i="1"/>
  <c r="N88" i="1"/>
  <c r="N87" i="1"/>
  <c r="N84" i="1"/>
  <c r="N82" i="1"/>
  <c r="N81" i="1"/>
  <c r="N80" i="1"/>
  <c r="N79" i="1"/>
  <c r="N78" i="1"/>
  <c r="N76" i="1"/>
  <c r="N74" i="1"/>
  <c r="N73" i="1"/>
  <c r="N72" i="1"/>
  <c r="N71" i="1"/>
  <c r="N70" i="1"/>
  <c r="N69" i="1"/>
  <c r="N68" i="1"/>
  <c r="N67" i="1"/>
  <c r="N66" i="1"/>
  <c r="N64" i="1"/>
  <c r="N63" i="1"/>
  <c r="N62" i="1"/>
  <c r="N59" i="1"/>
  <c r="N58" i="1"/>
  <c r="N57" i="1"/>
  <c r="N56" i="1"/>
  <c r="N54" i="1"/>
  <c r="N53" i="1"/>
  <c r="N52" i="1"/>
  <c r="N51" i="1"/>
  <c r="N49" i="1"/>
  <c r="N48" i="1"/>
  <c r="N47" i="1"/>
  <c r="N46" i="1"/>
  <c r="N45" i="1"/>
  <c r="N43" i="1"/>
  <c r="N42" i="1"/>
  <c r="N41" i="1"/>
  <c r="N37" i="1"/>
  <c r="N34" i="1"/>
  <c r="N33" i="1"/>
  <c r="N30" i="1"/>
  <c r="N23" i="1"/>
  <c r="N22" i="1"/>
  <c r="N20" i="1"/>
  <c r="N19" i="1"/>
  <c r="N18" i="1"/>
  <c r="N16" i="1"/>
  <c r="N13" i="1"/>
  <c r="N12" i="1"/>
  <c r="N9" i="1"/>
  <c r="N8" i="1"/>
  <c r="N6" i="1"/>
  <c r="N4" i="1"/>
  <c r="N2" i="1"/>
</calcChain>
</file>

<file path=xl/sharedStrings.xml><?xml version="1.0" encoding="utf-8"?>
<sst xmlns="http://schemas.openxmlformats.org/spreadsheetml/2006/main" count="6810" uniqueCount="2847">
  <si>
    <t>Student ID</t>
  </si>
  <si>
    <t>S1000</t>
  </si>
  <si>
    <t>Biology</t>
  </si>
  <si>
    <t>Engineering</t>
  </si>
  <si>
    <t>3/28/2023</t>
  </si>
  <si>
    <t>Enrolled</t>
  </si>
  <si>
    <t>S1001</t>
  </si>
  <si>
    <t>Student_1</t>
  </si>
  <si>
    <t>Data Science</t>
  </si>
  <si>
    <t>Science</t>
  </si>
  <si>
    <t>10/21/2022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</si>
  <si>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</si>
  <si>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</si>
  <si>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</si>
  <si>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</si>
  <si>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</si>
  <si>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</si>
  <si>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</si>
  <si>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11/23/2023</t>
  </si>
  <si>
    <t>S1004</t>
  </si>
  <si>
    <t>Student_4</t>
  </si>
  <si>
    <t>Economics</t>
  </si>
  <si>
    <t>4/18/2024</t>
  </si>
  <si>
    <t>S1005</t>
  </si>
  <si>
    <t>Student_5</t>
  </si>
  <si>
    <t>Arts</t>
  </si>
  <si>
    <t>6/25/2022</t>
  </si>
  <si>
    <t>S1006</t>
  </si>
  <si>
    <t>Student_6</t>
  </si>
  <si>
    <t>2/19/2023</t>
  </si>
  <si>
    <t>S1007</t>
  </si>
  <si>
    <t>Student_7</t>
  </si>
  <si>
    <t>Mechanical Engineering</t>
  </si>
  <si>
    <t>S1008</t>
  </si>
  <si>
    <t>Student_8</t>
  </si>
  <si>
    <t>1/13/2023</t>
  </si>
  <si>
    <t>Dropped</t>
  </si>
  <si>
    <t>S1009</t>
  </si>
  <si>
    <t>Student_9</t>
  </si>
  <si>
    <t>11/16/2022</t>
  </si>
  <si>
    <t>S1010</t>
  </si>
  <si>
    <t>Student_10</t>
  </si>
  <si>
    <t>3/24/2023</t>
  </si>
  <si>
    <t>S1011</t>
  </si>
  <si>
    <t>Student_11</t>
  </si>
  <si>
    <t>S1012</t>
  </si>
  <si>
    <t>Student_12</t>
  </si>
  <si>
    <t>10/20/2023</t>
  </si>
  <si>
    <t>S1013</t>
  </si>
  <si>
    <t>Student_13</t>
  </si>
  <si>
    <t>S1014</t>
  </si>
  <si>
    <t>Student_14</t>
  </si>
  <si>
    <t>9/27/2023</t>
  </si>
  <si>
    <t>S1015</t>
  </si>
  <si>
    <t>Student_15</t>
  </si>
  <si>
    <t>Philosophy</t>
  </si>
  <si>
    <t>S1016</t>
  </si>
  <si>
    <t>Student_16</t>
  </si>
  <si>
    <t>Architecture</t>
  </si>
  <si>
    <t>7/22/2023</t>
  </si>
  <si>
    <t>S1017</t>
  </si>
  <si>
    <t>Student_17</t>
  </si>
  <si>
    <t>10/23/2023</t>
  </si>
  <si>
    <t>S1018</t>
  </si>
  <si>
    <t>Student_18</t>
  </si>
  <si>
    <t>Business</t>
  </si>
  <si>
    <t>S1019</t>
  </si>
  <si>
    <t>Student_19</t>
  </si>
  <si>
    <t>7/30/2022</t>
  </si>
  <si>
    <t>S1020</t>
  </si>
  <si>
    <t>Student_20</t>
  </si>
  <si>
    <t>8/28/2023</t>
  </si>
  <si>
    <t>S1021</t>
  </si>
  <si>
    <t>Student_21</t>
  </si>
  <si>
    <t>3/19/2023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</si>
  <si>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</si>
  <si>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</si>
  <si>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</si>
  <si>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</si>
  <si>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</si>
  <si>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</si>
  <si>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</si>
  <si>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</si>
  <si>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</si>
  <si>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</si>
  <si>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6/15/2023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</si>
  <si>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</si>
  <si>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</si>
  <si>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</si>
  <si>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</si>
  <si>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</si>
  <si>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</si>
  <si>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</si>
  <si>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</si>
  <si>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9/27/2022</t>
  </si>
  <si>
    <t>S1031</t>
  </si>
  <si>
    <t>Student_31</t>
  </si>
  <si>
    <t>S1032</t>
  </si>
  <si>
    <t>Student_32</t>
  </si>
  <si>
    <t>S1033</t>
  </si>
  <si>
    <t>Student_33</t>
  </si>
  <si>
    <t>6/14/2023</t>
  </si>
  <si>
    <t>S1034</t>
  </si>
  <si>
    <t>Student_34</t>
  </si>
  <si>
    <t>3/30/2022</t>
  </si>
  <si>
    <t>S1035</t>
  </si>
  <si>
    <t>Student_35</t>
  </si>
  <si>
    <t>S1036</t>
  </si>
  <si>
    <t>Student_36</t>
  </si>
  <si>
    <t>S1037</t>
  </si>
  <si>
    <t>Student_37</t>
  </si>
  <si>
    <t>2/27/2022</t>
  </si>
  <si>
    <t>S1038</t>
  </si>
  <si>
    <t>Student_38</t>
  </si>
  <si>
    <t>3/28/2024</t>
  </si>
  <si>
    <t>S1039</t>
  </si>
  <si>
    <t>Student_39</t>
  </si>
  <si>
    <t>11/18/2022</t>
  </si>
  <si>
    <t>S1040</t>
  </si>
  <si>
    <t>Student_40</t>
  </si>
  <si>
    <t>2/22/2023</t>
  </si>
  <si>
    <t>S1041</t>
  </si>
  <si>
    <t>Student_41</t>
  </si>
  <si>
    <t>1/16/2022</t>
  </si>
  <si>
    <t>S1042</t>
  </si>
  <si>
    <t>Student_42</t>
  </si>
  <si>
    <t>12/20/2022</t>
  </si>
  <si>
    <t>S1043</t>
  </si>
  <si>
    <t>Student_43</t>
  </si>
  <si>
    <t>S1044</t>
  </si>
  <si>
    <t>Student_44</t>
  </si>
  <si>
    <t>3/29/2022</t>
  </si>
  <si>
    <t>S1045</t>
  </si>
  <si>
    <t>Student_45</t>
  </si>
  <si>
    <t>8/22/2023</t>
  </si>
  <si>
    <t>S1046</t>
  </si>
  <si>
    <t>Student_46</t>
  </si>
  <si>
    <t>S1047</t>
  </si>
  <si>
    <t>Student_47</t>
  </si>
  <si>
    <t>9/13/2023</t>
  </si>
  <si>
    <t>S1048</t>
  </si>
  <si>
    <t>Student_48</t>
  </si>
  <si>
    <t>4/26/2023</t>
  </si>
  <si>
    <t>S1049</t>
  </si>
  <si>
    <t>Student_49</t>
  </si>
  <si>
    <t>S1050</t>
  </si>
  <si>
    <t>Student_50</t>
  </si>
  <si>
    <t>S1051</t>
  </si>
  <si>
    <t>Student_51</t>
  </si>
  <si>
    <t>5/24/2022</t>
  </si>
  <si>
    <t>S1052</t>
  </si>
  <si>
    <t>Student_52</t>
  </si>
  <si>
    <t>11/28/2022</t>
  </si>
  <si>
    <t>S1053</t>
  </si>
  <si>
    <t>Student_53</t>
  </si>
  <si>
    <t>3/13/2023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</si>
  <si>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</si>
  <si>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</si>
  <si>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</si>
  <si>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</si>
  <si>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</si>
  <si>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</si>
  <si>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</si>
  <si>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</si>
  <si>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</si>
  <si>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</si>
  <si>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11/25/2023</t>
  </si>
  <si>
    <t>S1059</t>
  </si>
  <si>
    <t>Student_59</t>
  </si>
  <si>
    <t>8/13/2022</t>
  </si>
  <si>
    <t>S1060</t>
  </si>
  <si>
    <t>Student_60</t>
  </si>
  <si>
    <t>S1061</t>
  </si>
  <si>
    <t>Student_61</t>
  </si>
  <si>
    <t>11/26/2023</t>
  </si>
  <si>
    <t>S1062</t>
  </si>
  <si>
    <t>Student_62</t>
  </si>
  <si>
    <t>6/24/2022</t>
  </si>
  <si>
    <t>S1063</t>
  </si>
  <si>
    <t>Student_63</t>
  </si>
  <si>
    <t>8/28/2022</t>
  </si>
  <si>
    <t>S1064</t>
  </si>
  <si>
    <t>Student_64</t>
  </si>
  <si>
    <t>11/19/2022</t>
  </si>
  <si>
    <t>S1065</t>
  </si>
  <si>
    <t>Student_65</t>
  </si>
  <si>
    <t>6/25/2023</t>
  </si>
  <si>
    <t>S1066</t>
  </si>
  <si>
    <t>Student_66</t>
  </si>
  <si>
    <t>5/15/2023</t>
  </si>
  <si>
    <t>S1067</t>
  </si>
  <si>
    <t>Student_67</t>
  </si>
  <si>
    <t>9/16/2023</t>
  </si>
  <si>
    <t>S1068</t>
  </si>
  <si>
    <t>Student_68</t>
  </si>
  <si>
    <t>6/20/2023</t>
  </si>
  <si>
    <t>S1069</t>
  </si>
  <si>
    <t>Student_69</t>
  </si>
  <si>
    <t>10/24/2022</t>
  </si>
  <si>
    <t>S1070</t>
  </si>
  <si>
    <t>Student_70</t>
  </si>
  <si>
    <t>8/18/2023</t>
  </si>
  <si>
    <t>S1071</t>
  </si>
  <si>
    <t>Student_71</t>
  </si>
  <si>
    <t>S1072</t>
  </si>
  <si>
    <t>Student_72</t>
  </si>
  <si>
    <t>4/21/2022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</si>
  <si>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</si>
  <si>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</si>
  <si>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</si>
  <si>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</si>
  <si>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</si>
  <si>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</si>
  <si>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</si>
  <si>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</si>
  <si>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</si>
  <si>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</si>
  <si>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</si>
  <si>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</si>
  <si>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12/27/2023</t>
  </si>
  <si>
    <t>S1079</t>
  </si>
  <si>
    <t>Student_79</t>
  </si>
  <si>
    <t>5/26/2024</t>
  </si>
  <si>
    <t>S1080</t>
  </si>
  <si>
    <t>Student_80</t>
  </si>
  <si>
    <t>S1081</t>
  </si>
  <si>
    <t>Student_81</t>
  </si>
  <si>
    <t>9/20/2022</t>
  </si>
  <si>
    <t>S1082</t>
  </si>
  <si>
    <t>Student_82</t>
  </si>
  <si>
    <t>S1083</t>
  </si>
  <si>
    <t>Student_83</t>
  </si>
  <si>
    <t>9/17/2023</t>
  </si>
  <si>
    <t>S1084</t>
  </si>
  <si>
    <t>Student_84</t>
  </si>
  <si>
    <t>S1085</t>
  </si>
  <si>
    <t>Student_85</t>
  </si>
  <si>
    <t>11/29/2022</t>
  </si>
  <si>
    <t>S1086</t>
  </si>
  <si>
    <t>Student_86</t>
  </si>
  <si>
    <t>S1087</t>
  </si>
  <si>
    <t>Student_87</t>
  </si>
  <si>
    <t>S1088</t>
  </si>
  <si>
    <t>Student_88</t>
  </si>
  <si>
    <t>5/27/2023</t>
  </si>
  <si>
    <t>S1089</t>
  </si>
  <si>
    <t>Student_89</t>
  </si>
  <si>
    <t>1/20/2023</t>
  </si>
  <si>
    <t>S1090</t>
  </si>
  <si>
    <t>Student_90</t>
  </si>
  <si>
    <t>2/28/2022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</si>
  <si>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</si>
  <si>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</si>
  <si>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</si>
  <si>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</si>
  <si>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</si>
  <si>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</si>
  <si>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</si>
  <si>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</si>
  <si>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</si>
  <si>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</si>
  <si>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</si>
  <si>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</si>
  <si>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</si>
  <si>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</si>
  <si>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10/15/2023</t>
  </si>
  <si>
    <t>S1098</t>
  </si>
  <si>
    <t>Student_98</t>
  </si>
  <si>
    <t>S1099</t>
  </si>
  <si>
    <t>Student_99</t>
  </si>
  <si>
    <t>S1100</t>
  </si>
  <si>
    <t>Student_100</t>
  </si>
  <si>
    <t>4/22/2022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</si>
  <si>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</si>
  <si>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</si>
  <si>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</si>
  <si>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</si>
  <si>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</si>
  <si>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</si>
  <si>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</si>
  <si>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</si>
  <si>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6/13/2024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</si>
  <si>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</si>
  <si>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</si>
  <si>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</si>
  <si>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</si>
  <si>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</si>
  <si>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</si>
  <si>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</si>
  <si>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</si>
  <si>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</si>
  <si>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</si>
  <si>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10/24/2023</t>
  </si>
  <si>
    <t>S1110</t>
  </si>
  <si>
    <t>Student_110</t>
  </si>
  <si>
    <t>4/20/2023</t>
  </si>
  <si>
    <t>S1111</t>
  </si>
  <si>
    <t>Student_111</t>
  </si>
  <si>
    <t>10/30/2022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</si>
  <si>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</si>
  <si>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</si>
  <si>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</si>
  <si>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</si>
  <si>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</si>
  <si>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</si>
  <si>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</si>
  <si>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</si>
  <si>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</si>
  <si>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</si>
  <si>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3/18/2024</t>
  </si>
  <si>
    <t>S1117</t>
  </si>
  <si>
    <t>Student_117</t>
  </si>
  <si>
    <t>S1118</t>
  </si>
  <si>
    <t>Student_118</t>
  </si>
  <si>
    <t>2/28/2024</t>
  </si>
  <si>
    <t>S1119</t>
  </si>
  <si>
    <t>Student_119</t>
  </si>
  <si>
    <t>2/17/2022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</si>
  <si>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</si>
  <si>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</si>
  <si>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</si>
  <si>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</si>
  <si>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</si>
  <si>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</si>
  <si>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</si>
  <si>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</si>
  <si>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</si>
  <si>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</si>
  <si>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3/13/2024</t>
  </si>
  <si>
    <t>S1125</t>
  </si>
  <si>
    <t>Student_125</t>
  </si>
  <si>
    <t>9/21/2022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</si>
  <si>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</si>
  <si>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</si>
  <si>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</si>
  <si>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</si>
  <si>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</si>
  <si>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</si>
  <si>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</si>
  <si>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</si>
  <si>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4/21/2023</t>
  </si>
  <si>
    <t>S1130</t>
  </si>
  <si>
    <t>Student_130</t>
  </si>
  <si>
    <t>S1131</t>
  </si>
  <si>
    <t>Student_131</t>
  </si>
  <si>
    <t>S1132</t>
  </si>
  <si>
    <t>Student_132</t>
  </si>
  <si>
    <t>7/31/2022</t>
  </si>
  <si>
    <t>S1133</t>
  </si>
  <si>
    <t>Student_133</t>
  </si>
  <si>
    <t>1/16/2024</t>
  </si>
  <si>
    <t>S1134</t>
  </si>
  <si>
    <t>Student_134</t>
  </si>
  <si>
    <t>11/29/2023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</si>
  <si>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</si>
  <si>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</si>
  <si>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</si>
  <si>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</si>
  <si>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</si>
  <si>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</si>
  <si>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</si>
  <si>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</si>
  <si>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7/14/2022</t>
  </si>
  <si>
    <t>S1139</t>
  </si>
  <si>
    <t>Student_139</t>
  </si>
  <si>
    <t>S1140</t>
  </si>
  <si>
    <t>Student_140</t>
  </si>
  <si>
    <t>7/24/2022</t>
  </si>
  <si>
    <t>S1141</t>
  </si>
  <si>
    <t>Student_141</t>
  </si>
  <si>
    <t>S1142</t>
  </si>
  <si>
    <t>Student_142</t>
  </si>
  <si>
    <t>3/15/2023</t>
  </si>
  <si>
    <t>S1143</t>
  </si>
  <si>
    <t>Student_143</t>
  </si>
  <si>
    <t>7/16/2023</t>
  </si>
  <si>
    <t>S1144</t>
  </si>
  <si>
    <t>Student_144</t>
  </si>
  <si>
    <t>3/17/2024</t>
  </si>
  <si>
    <t>S1145</t>
  </si>
  <si>
    <t>Student_145</t>
  </si>
  <si>
    <t>1/18/2022</t>
  </si>
  <si>
    <t>S1146</t>
  </si>
  <si>
    <t>Student_146</t>
  </si>
  <si>
    <t>3/29/2023</t>
  </si>
  <si>
    <t>S1147</t>
  </si>
  <si>
    <t>Student_147</t>
  </si>
  <si>
    <t>8/21/2022</t>
  </si>
  <si>
    <t>S1148</t>
  </si>
  <si>
    <t>Student_148</t>
  </si>
  <si>
    <t>7/31/2023</t>
  </si>
  <si>
    <t>S1149</t>
  </si>
  <si>
    <t>Student_149</t>
  </si>
  <si>
    <t>5/15/2022</t>
  </si>
  <si>
    <t>S1150</t>
  </si>
  <si>
    <t>Student_150</t>
  </si>
  <si>
    <t>S1151</t>
  </si>
  <si>
    <t>Student_151</t>
  </si>
  <si>
    <t>8/26/2023</t>
  </si>
  <si>
    <t>S1152</t>
  </si>
  <si>
    <t>Student_152</t>
  </si>
  <si>
    <t>5/28/2024</t>
  </si>
  <si>
    <t>S1153</t>
  </si>
  <si>
    <t>Student_153</t>
  </si>
  <si>
    <t>2/26/2022</t>
  </si>
  <si>
    <t>S1154</t>
  </si>
  <si>
    <t>Student_154</t>
  </si>
  <si>
    <t>6/16/2024</t>
  </si>
  <si>
    <t>S1155</t>
  </si>
  <si>
    <t>Student_155</t>
  </si>
  <si>
    <t>S1156</t>
  </si>
  <si>
    <t>Student_156</t>
  </si>
  <si>
    <t>S1157</t>
  </si>
  <si>
    <t>Student_157</t>
  </si>
  <si>
    <t>5/25/2022</t>
  </si>
  <si>
    <t>S1158</t>
  </si>
  <si>
    <t>Student_158</t>
  </si>
  <si>
    <t>2/26/2024</t>
  </si>
  <si>
    <t>S1159</t>
  </si>
  <si>
    <t>Student_159</t>
  </si>
  <si>
    <t>2/13/2022</t>
  </si>
  <si>
    <t>S1160</t>
  </si>
  <si>
    <t>Student_160</t>
  </si>
  <si>
    <t>S1161</t>
  </si>
  <si>
    <t>Student_161</t>
  </si>
  <si>
    <t>10/14/2023</t>
  </si>
  <si>
    <t>S1162</t>
  </si>
  <si>
    <t>Student_162</t>
  </si>
  <si>
    <t>S1163</t>
  </si>
  <si>
    <t>Student_163</t>
  </si>
  <si>
    <t>S1164</t>
  </si>
  <si>
    <t>Student_164</t>
  </si>
  <si>
    <t>8/30/2022</t>
  </si>
  <si>
    <t>S1165</t>
  </si>
  <si>
    <t>Student_165</t>
  </si>
  <si>
    <t>S1166</t>
  </si>
  <si>
    <t>Student_166</t>
  </si>
  <si>
    <t>S1167</t>
  </si>
  <si>
    <t>Student_167</t>
  </si>
  <si>
    <t>1/22/2022</t>
  </si>
  <si>
    <t>S1168</t>
  </si>
  <si>
    <t>Student_168</t>
  </si>
  <si>
    <t>S1169</t>
  </si>
  <si>
    <t>Student_169</t>
  </si>
  <si>
    <t>S1170</t>
  </si>
  <si>
    <t>Student_170</t>
  </si>
  <si>
    <t>9/19/2023</t>
  </si>
  <si>
    <t>S1171</t>
  </si>
  <si>
    <t>Student_171</t>
  </si>
  <si>
    <t>12/22/2023</t>
  </si>
  <si>
    <t>S1172</t>
  </si>
  <si>
    <t>Student_172</t>
  </si>
  <si>
    <t>S1173</t>
  </si>
  <si>
    <t>Student_173</t>
  </si>
  <si>
    <t>1/27/2022</t>
  </si>
  <si>
    <t>S1174</t>
  </si>
  <si>
    <t>Student_174</t>
  </si>
  <si>
    <t>4/17/2022</t>
  </si>
  <si>
    <t>S1175</t>
  </si>
  <si>
    <t>Student_175</t>
  </si>
  <si>
    <t>5/19/2022</t>
  </si>
  <si>
    <t>S1176</t>
  </si>
  <si>
    <t>Student_176</t>
  </si>
  <si>
    <t>1/30/2023</t>
  </si>
  <si>
    <t>S1177</t>
  </si>
  <si>
    <t>Student_177</t>
  </si>
  <si>
    <t>S1178</t>
  </si>
  <si>
    <t>Student_178</t>
  </si>
  <si>
    <t>S1179</t>
  </si>
  <si>
    <t>Student_179</t>
  </si>
  <si>
    <t>3/27/2024</t>
  </si>
  <si>
    <t>S1180</t>
  </si>
  <si>
    <t>Student_180</t>
  </si>
  <si>
    <t>S1181</t>
  </si>
  <si>
    <t>Student_181</t>
  </si>
  <si>
    <t>7/19/2022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</si>
  <si>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</si>
  <si>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</si>
  <si>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</si>
  <si>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</si>
  <si>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</si>
  <si>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</si>
  <si>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</si>
  <si>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</si>
  <si>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1/21/2022</t>
  </si>
  <si>
    <t>S1186</t>
  </si>
  <si>
    <t>Student_186</t>
  </si>
  <si>
    <t>8/24/2022</t>
  </si>
  <si>
    <t>S1187</t>
  </si>
  <si>
    <t>Student_187</t>
  </si>
  <si>
    <t>S1188</t>
  </si>
  <si>
    <t>Student_188</t>
  </si>
  <si>
    <t>S1189</t>
  </si>
  <si>
    <t>Student_189</t>
  </si>
  <si>
    <t>4/22/2023</t>
  </si>
  <si>
    <t>S1190</t>
  </si>
  <si>
    <t>Student_190</t>
  </si>
  <si>
    <t>S1191</t>
  </si>
  <si>
    <t>Student_191</t>
  </si>
  <si>
    <t>S1192</t>
  </si>
  <si>
    <t>Student_192</t>
  </si>
  <si>
    <t>2/14/2022</t>
  </si>
  <si>
    <t>S1193</t>
  </si>
  <si>
    <t>Student_193</t>
  </si>
  <si>
    <t>4/27/2022</t>
  </si>
  <si>
    <t>S1194</t>
  </si>
  <si>
    <t>Student_194</t>
  </si>
  <si>
    <t>10/27/2022</t>
  </si>
  <si>
    <t>S1195</t>
  </si>
  <si>
    <t>Student_195</t>
  </si>
  <si>
    <t>S1196</t>
  </si>
  <si>
    <t>Student_196</t>
  </si>
  <si>
    <t>2/21/2022</t>
  </si>
  <si>
    <t>S1197</t>
  </si>
  <si>
    <t>Student_197</t>
  </si>
  <si>
    <t>4/29/2022</t>
  </si>
  <si>
    <t>S1198</t>
  </si>
  <si>
    <t>Student_198</t>
  </si>
  <si>
    <t>4/15/2023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</si>
  <si>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</si>
  <si>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</si>
  <si>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</si>
  <si>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</si>
  <si>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</si>
  <si>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</si>
  <si>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</si>
  <si>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</si>
  <si>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</si>
  <si>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</si>
  <si>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11/30/2022</t>
  </si>
  <si>
    <t>S1204</t>
  </si>
  <si>
    <t>Student_204</t>
  </si>
  <si>
    <t>S1205</t>
  </si>
  <si>
    <t>Student_205</t>
  </si>
  <si>
    <t>6/18/2022</t>
  </si>
  <si>
    <t>S1206</t>
  </si>
  <si>
    <t>Student_206</t>
  </si>
  <si>
    <t>8/25/2023</t>
  </si>
  <si>
    <t>S1207</t>
  </si>
  <si>
    <t>Student_207</t>
  </si>
  <si>
    <t>S1208</t>
  </si>
  <si>
    <t>Student_208</t>
  </si>
  <si>
    <t>S1209</t>
  </si>
  <si>
    <t>Student_209</t>
  </si>
  <si>
    <t>5/21/2024</t>
  </si>
  <si>
    <t>S1210</t>
  </si>
  <si>
    <t>Student_210</t>
  </si>
  <si>
    <t>S1211</t>
  </si>
  <si>
    <t>Student_211</t>
  </si>
  <si>
    <t>S1212</t>
  </si>
  <si>
    <t>Student_212</t>
  </si>
  <si>
    <t>11/15/2023</t>
  </si>
  <si>
    <t>S1213</t>
  </si>
  <si>
    <t>Student_213</t>
  </si>
  <si>
    <t>S1214</t>
  </si>
  <si>
    <t>Student_214</t>
  </si>
  <si>
    <t>8/19/2023</t>
  </si>
  <si>
    <t>S1215</t>
  </si>
  <si>
    <t>Student_215</t>
  </si>
  <si>
    <t>8/29/2022</t>
  </si>
  <si>
    <t>S1216</t>
  </si>
  <si>
    <t>Student_216</t>
  </si>
  <si>
    <t>S1217</t>
  </si>
  <si>
    <t>Student_217</t>
  </si>
  <si>
    <t>11/22/2023</t>
  </si>
  <si>
    <t>S1218</t>
  </si>
  <si>
    <t>Student_218</t>
  </si>
  <si>
    <t>S1219</t>
  </si>
  <si>
    <t>Student_219</t>
  </si>
  <si>
    <t>12/29/2022</t>
  </si>
  <si>
    <t>S1220</t>
  </si>
  <si>
    <t>Student_220</t>
  </si>
  <si>
    <t>S1221</t>
  </si>
  <si>
    <t>Student_221</t>
  </si>
  <si>
    <t>S1222</t>
  </si>
  <si>
    <t>Student_222</t>
  </si>
  <si>
    <t>9/23/2023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</si>
  <si>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</si>
  <si>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</si>
  <si>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</si>
  <si>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</si>
  <si>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</si>
  <si>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</si>
  <si>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</si>
  <si>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</si>
  <si>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</si>
  <si>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</si>
  <si>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3/24/2022</t>
  </si>
  <si>
    <t>S1228</t>
  </si>
  <si>
    <t>Student_228</t>
  </si>
  <si>
    <t>10/27/2023</t>
  </si>
  <si>
    <t>S1229</t>
  </si>
  <si>
    <t>Student_229</t>
  </si>
  <si>
    <t>S1230</t>
  </si>
  <si>
    <t>Student_230</t>
  </si>
  <si>
    <t>2/28/2023</t>
  </si>
  <si>
    <t>S1231</t>
  </si>
  <si>
    <t>Student_231</t>
  </si>
  <si>
    <t>S1232</t>
  </si>
  <si>
    <t>Student_232</t>
  </si>
  <si>
    <t>12/20/2023</t>
  </si>
  <si>
    <t>S1233</t>
  </si>
  <si>
    <t>Student_233</t>
  </si>
  <si>
    <t>S1234</t>
  </si>
  <si>
    <t>Student_234</t>
  </si>
  <si>
    <t>1/29/2023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</si>
  <si>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</si>
  <si>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</si>
  <si>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</si>
  <si>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</si>
  <si>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</si>
  <si>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</si>
  <si>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</si>
  <si>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</si>
  <si>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1/25/2024</t>
  </si>
  <si>
    <t>S1239</t>
  </si>
  <si>
    <t>Student_239</t>
  </si>
  <si>
    <t>3/26/2024</t>
  </si>
  <si>
    <t>S1240</t>
  </si>
  <si>
    <t>Student_240</t>
  </si>
  <si>
    <t>10/13/2022</t>
  </si>
  <si>
    <t>S1241</t>
  </si>
  <si>
    <t>Student_241</t>
  </si>
  <si>
    <t>S1242</t>
  </si>
  <si>
    <t>Student_242</t>
  </si>
  <si>
    <t>S1243</t>
  </si>
  <si>
    <t>Student_243</t>
  </si>
  <si>
    <t>2/25/2023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</si>
  <si>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</si>
  <si>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</si>
  <si>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</si>
  <si>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</si>
  <si>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</si>
  <si>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</si>
  <si>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</si>
  <si>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</si>
  <si>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</si>
  <si>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</si>
  <si>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7/30/2023</t>
  </si>
  <si>
    <t>S1249</t>
  </si>
  <si>
    <t>Student_249</t>
  </si>
  <si>
    <t>1/16/2023</t>
  </si>
  <si>
    <t>S1250</t>
  </si>
  <si>
    <t>Student_250</t>
  </si>
  <si>
    <t>S1251</t>
  </si>
  <si>
    <t>Student_251</t>
  </si>
  <si>
    <t>3/31/2023</t>
  </si>
  <si>
    <t>S1252</t>
  </si>
  <si>
    <t>Student_252</t>
  </si>
  <si>
    <t>6/13/2022</t>
  </si>
  <si>
    <t>S1253</t>
  </si>
  <si>
    <t>Student_253</t>
  </si>
  <si>
    <t>S1254</t>
  </si>
  <si>
    <t>Student_254</t>
  </si>
  <si>
    <t>2/18/2024</t>
  </si>
  <si>
    <t>S1255</t>
  </si>
  <si>
    <t>Student_255</t>
  </si>
  <si>
    <t>1/24/2022</t>
  </si>
  <si>
    <t>S1256</t>
  </si>
  <si>
    <t>Student_256</t>
  </si>
  <si>
    <t>9/20/2023</t>
  </si>
  <si>
    <t>S1257</t>
  </si>
  <si>
    <t>Student_257</t>
  </si>
  <si>
    <t>10/23/2022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</si>
  <si>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</si>
  <si>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</si>
  <si>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</si>
  <si>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</si>
  <si>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</si>
  <si>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</si>
  <si>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</si>
  <si>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</si>
  <si>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1/26/2023</t>
  </si>
  <si>
    <t>S1262</t>
  </si>
  <si>
    <t>Student_262</t>
  </si>
  <si>
    <t>12/16/2023</t>
  </si>
  <si>
    <t>S1263</t>
  </si>
  <si>
    <t>Student_263</t>
  </si>
  <si>
    <t>S1264</t>
  </si>
  <si>
    <t>Student_264</t>
  </si>
  <si>
    <t>12/27/2022</t>
  </si>
  <si>
    <t>S1265</t>
  </si>
  <si>
    <t>Student_265</t>
  </si>
  <si>
    <t>S1266</t>
  </si>
  <si>
    <t>Student_266</t>
  </si>
  <si>
    <t>S1267</t>
  </si>
  <si>
    <t>Student_267</t>
  </si>
  <si>
    <t>3/17/2022</t>
  </si>
  <si>
    <t>S1268</t>
  </si>
  <si>
    <t>Student_268</t>
  </si>
  <si>
    <t>3/27/2022</t>
  </si>
  <si>
    <t>S1269</t>
  </si>
  <si>
    <t>Student_269</t>
  </si>
  <si>
    <t>S1270</t>
  </si>
  <si>
    <t>Student_270</t>
  </si>
  <si>
    <t>7/17/2022</t>
  </si>
  <si>
    <t>S1271</t>
  </si>
  <si>
    <t>Student_271</t>
  </si>
  <si>
    <t>12/14/2022</t>
  </si>
  <si>
    <t>S1272</t>
  </si>
  <si>
    <t>Student_272</t>
  </si>
  <si>
    <t>5/14/2023</t>
  </si>
  <si>
    <t>S1273</t>
  </si>
  <si>
    <t>Student_273</t>
  </si>
  <si>
    <t>S1274</t>
  </si>
  <si>
    <t>Student_274</t>
  </si>
  <si>
    <t>1/18/2023</t>
  </si>
  <si>
    <t>S1275</t>
  </si>
  <si>
    <t>Student_275</t>
  </si>
  <si>
    <t>S1276</t>
  </si>
  <si>
    <t>Student_276</t>
  </si>
  <si>
    <t>S1277</t>
  </si>
  <si>
    <t>Student_277</t>
  </si>
  <si>
    <t>9/14/2023</t>
  </si>
  <si>
    <t>S1278</t>
  </si>
  <si>
    <t>Student_278</t>
  </si>
  <si>
    <t>S1279</t>
  </si>
  <si>
    <t>Student_279</t>
  </si>
  <si>
    <t>S1280</t>
  </si>
  <si>
    <t>Student_280</t>
  </si>
  <si>
    <t>8/17/2023</t>
  </si>
  <si>
    <t>S1281</t>
  </si>
  <si>
    <t>Student_281</t>
  </si>
  <si>
    <t>12/15/2022</t>
  </si>
  <si>
    <t>S1282</t>
  </si>
  <si>
    <t>Student_282</t>
  </si>
  <si>
    <t>S1283</t>
  </si>
  <si>
    <t>Student_283</t>
  </si>
  <si>
    <t>S1284</t>
  </si>
  <si>
    <t>Student_284</t>
  </si>
  <si>
    <t>11/24/2023</t>
  </si>
  <si>
    <t>S1285</t>
  </si>
  <si>
    <t>Student_285</t>
  </si>
  <si>
    <t>S1286</t>
  </si>
  <si>
    <t>Student_286</t>
  </si>
  <si>
    <t>1/19/2022</t>
  </si>
  <si>
    <t>S1287</t>
  </si>
  <si>
    <t>Student_287</t>
  </si>
  <si>
    <t>S1288</t>
  </si>
  <si>
    <t>Student_288</t>
  </si>
  <si>
    <t>S1289</t>
  </si>
  <si>
    <t>Student_289</t>
  </si>
  <si>
    <t>2/23/2023</t>
  </si>
  <si>
    <t>S1290</t>
  </si>
  <si>
    <t>Student_290</t>
  </si>
  <si>
    <t>5/17/2022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</si>
  <si>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</si>
  <si>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</si>
  <si>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</si>
  <si>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</si>
  <si>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</si>
  <si>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</si>
  <si>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</si>
  <si>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</si>
  <si>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12/19/2022</t>
  </si>
  <si>
    <t>S1295</t>
  </si>
  <si>
    <t>Student_295</t>
  </si>
  <si>
    <t>S1296</t>
  </si>
  <si>
    <t>Student_296</t>
  </si>
  <si>
    <t>7/23/2022</t>
  </si>
  <si>
    <t>S1297</t>
  </si>
  <si>
    <t>Student_297</t>
  </si>
  <si>
    <t>S1298</t>
  </si>
  <si>
    <t>Student_298</t>
  </si>
  <si>
    <t>S1299</t>
  </si>
  <si>
    <t>Student_299</t>
  </si>
  <si>
    <t>3/26/2023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</si>
  <si>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</si>
  <si>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</si>
  <si>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</si>
  <si>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</si>
  <si>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</si>
  <si>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</si>
  <si>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</si>
  <si>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</si>
  <si>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</si>
  <si>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</si>
  <si>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3/21/2024</t>
  </si>
  <si>
    <t>S1305</t>
  </si>
  <si>
    <t>Student_305</t>
  </si>
  <si>
    <t>S1306</t>
  </si>
  <si>
    <t>Student_306</t>
  </si>
  <si>
    <t>1/23/2022</t>
  </si>
  <si>
    <t>S1307</t>
  </si>
  <si>
    <t>Student_307</t>
  </si>
  <si>
    <t>1/14/2023</t>
  </si>
  <si>
    <t>S1308</t>
  </si>
  <si>
    <t>Student_308</t>
  </si>
  <si>
    <t>S1309</t>
  </si>
  <si>
    <t>Student_309</t>
  </si>
  <si>
    <t>6/16/2022</t>
  </si>
  <si>
    <t>S1310</t>
  </si>
  <si>
    <t>Student_310</t>
  </si>
  <si>
    <t>5/22/2023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</si>
  <si>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</si>
  <si>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</si>
  <si>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</si>
  <si>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</si>
  <si>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</si>
  <si>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</si>
  <si>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</si>
  <si>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</si>
  <si>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</si>
  <si>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</si>
  <si>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</si>
  <si>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</si>
  <si>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</si>
  <si>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</si>
  <si>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</si>
  <si>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</si>
  <si>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</si>
  <si>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</si>
  <si>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</si>
  <si>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</si>
  <si>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</si>
  <si>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</si>
  <si>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</si>
  <si>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</si>
  <si>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2/24/2022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</si>
  <si>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</si>
  <si>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</si>
  <si>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</si>
  <si>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</si>
  <si>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</si>
  <si>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</si>
  <si>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</si>
  <si>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</si>
  <si>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5/18/2024</t>
  </si>
  <si>
    <t>S1327</t>
  </si>
  <si>
    <t>Student_327</t>
  </si>
  <si>
    <t>S1328</t>
  </si>
  <si>
    <t>Student_328</t>
  </si>
  <si>
    <t>S1329</t>
  </si>
  <si>
    <t>Student_329</t>
  </si>
  <si>
    <t>1/17/2022</t>
  </si>
  <si>
    <t>S1330</t>
  </si>
  <si>
    <t>Student_330</t>
  </si>
  <si>
    <t>3/20/2022</t>
  </si>
  <si>
    <t>S1331</t>
  </si>
  <si>
    <t>Student_331</t>
  </si>
  <si>
    <t>7/25/2023</t>
  </si>
  <si>
    <t>S1332</t>
  </si>
  <si>
    <t>Student_332</t>
  </si>
  <si>
    <t>5/29/2023</t>
  </si>
  <si>
    <t>S1333</t>
  </si>
  <si>
    <t>Student_333</t>
  </si>
  <si>
    <t>2/18/2023</t>
  </si>
  <si>
    <t>S1334</t>
  </si>
  <si>
    <t>Student_334</t>
  </si>
  <si>
    <t>2/15/2022</t>
  </si>
  <si>
    <t>S1335</t>
  </si>
  <si>
    <t>Student_335</t>
  </si>
  <si>
    <t>S1336</t>
  </si>
  <si>
    <t>Student_336</t>
  </si>
  <si>
    <t>S1337</t>
  </si>
  <si>
    <t>Student_337</t>
  </si>
  <si>
    <t>1/15/2024</t>
  </si>
  <si>
    <t>S1338</t>
  </si>
  <si>
    <t>Student_338</t>
  </si>
  <si>
    <t>10/20/2022</t>
  </si>
  <si>
    <t>S1339</t>
  </si>
  <si>
    <t>Student_339</t>
  </si>
  <si>
    <t>5/16/2023</t>
  </si>
  <si>
    <t>S1340</t>
  </si>
  <si>
    <t>Student_340</t>
  </si>
  <si>
    <t>4/27/2023</t>
  </si>
  <si>
    <t>S1341</t>
  </si>
  <si>
    <t>Student_341</t>
  </si>
  <si>
    <t>2/19/2022</t>
  </si>
  <si>
    <t>S1342</t>
  </si>
  <si>
    <t>Student_342</t>
  </si>
  <si>
    <t>1/30/2024</t>
  </si>
  <si>
    <t>S1343</t>
  </si>
  <si>
    <t>Student_343</t>
  </si>
  <si>
    <t>1/19/2023</t>
  </si>
  <si>
    <t>S1344</t>
  </si>
  <si>
    <t>Student_344</t>
  </si>
  <si>
    <t>6/17/2024</t>
  </si>
  <si>
    <t>S1345</t>
  </si>
  <si>
    <t>Student_345</t>
  </si>
  <si>
    <t>S1346</t>
  </si>
  <si>
    <t>Student_346</t>
  </si>
  <si>
    <t>S1347</t>
  </si>
  <si>
    <t>Student_347</t>
  </si>
  <si>
    <t>3/21/2022</t>
  </si>
  <si>
    <t>S1348</t>
  </si>
  <si>
    <t>Student_348</t>
  </si>
  <si>
    <t>S1349</t>
  </si>
  <si>
    <t>Student_349</t>
  </si>
  <si>
    <t>3/31/2024</t>
  </si>
  <si>
    <t>S1350</t>
  </si>
  <si>
    <t>Student_350</t>
  </si>
  <si>
    <t>7/18/2022</t>
  </si>
  <si>
    <t>S1351</t>
  </si>
  <si>
    <t>Student_351</t>
  </si>
  <si>
    <t>1/21/2024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</si>
  <si>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</si>
  <si>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</si>
  <si>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</si>
  <si>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</si>
  <si>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</si>
  <si>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</si>
  <si>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</si>
  <si>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</si>
  <si>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</si>
  <si>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</si>
  <si>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</si>
  <si>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</si>
  <si>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8/30/2023</t>
  </si>
  <si>
    <t>S1358</t>
  </si>
  <si>
    <t>Student_358</t>
  </si>
  <si>
    <t>10/26/2022</t>
  </si>
  <si>
    <t>S1359</t>
  </si>
  <si>
    <t>Student_359</t>
  </si>
  <si>
    <t>12/29/2023</t>
  </si>
  <si>
    <t>S1360</t>
  </si>
  <si>
    <t>Student_360</t>
  </si>
  <si>
    <t>6/17/2022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</si>
  <si>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</si>
  <si>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</si>
  <si>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</si>
  <si>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</si>
  <si>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</si>
  <si>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</si>
  <si>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</si>
  <si>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</si>
  <si>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2/22/2022</t>
  </si>
  <si>
    <t>S1365</t>
  </si>
  <si>
    <t>Student_365</t>
  </si>
  <si>
    <t>9/22/2022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</si>
  <si>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</si>
  <si>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</si>
  <si>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</si>
  <si>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</si>
  <si>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</si>
  <si>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</si>
  <si>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</si>
  <si>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</si>
  <si>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9/29/2022</t>
  </si>
  <si>
    <t>S1370</t>
  </si>
  <si>
    <t>Student_370</t>
  </si>
  <si>
    <t>1/31/2023</t>
  </si>
  <si>
    <t>S1371</t>
  </si>
  <si>
    <t>Student_371</t>
  </si>
  <si>
    <t>S1372</t>
  </si>
  <si>
    <t>Student_372</t>
  </si>
  <si>
    <t>4/26/2024</t>
  </si>
  <si>
    <t>S1373</t>
  </si>
  <si>
    <t>Student_373</t>
  </si>
  <si>
    <t>9/14/2022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</si>
  <si>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</si>
  <si>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</si>
  <si>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</si>
  <si>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</si>
  <si>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</si>
  <si>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</si>
  <si>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</si>
  <si>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</si>
  <si>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7/15/2023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</si>
  <si>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</si>
  <si>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</si>
  <si>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</si>
  <si>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</si>
  <si>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</si>
  <si>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</si>
  <si>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</si>
  <si>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</si>
  <si>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</si>
  <si>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</si>
  <si>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</si>
  <si>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</si>
  <si>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</si>
  <si>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</si>
  <si>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6/14/2022</t>
  </si>
  <si>
    <t>S1385</t>
  </si>
  <si>
    <t>Student_385</t>
  </si>
  <si>
    <t>4/25/2022</t>
  </si>
  <si>
    <t>S1386</t>
  </si>
  <si>
    <t>Student_386</t>
  </si>
  <si>
    <t>S1387</t>
  </si>
  <si>
    <t>Student_387</t>
  </si>
  <si>
    <t>6/29/2022</t>
  </si>
  <si>
    <t>S1388</t>
  </si>
  <si>
    <t>Student_388</t>
  </si>
  <si>
    <t>S1389</t>
  </si>
  <si>
    <t>Student_389</t>
  </si>
  <si>
    <t>S1390</t>
  </si>
  <si>
    <t>Student_390</t>
  </si>
  <si>
    <t>12/23/2022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</si>
  <si>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</si>
  <si>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</si>
  <si>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</si>
  <si>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</si>
  <si>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</si>
  <si>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</si>
  <si>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</si>
  <si>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</si>
  <si>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1/15/2022</t>
  </si>
  <si>
    <t>S1395</t>
  </si>
  <si>
    <t>Student_395</t>
  </si>
  <si>
    <t>11/17/2022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</si>
  <si>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</si>
  <si>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</si>
  <si>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</si>
  <si>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</si>
  <si>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</si>
  <si>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</si>
  <si>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</si>
  <si>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</si>
  <si>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8/31/2023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</si>
  <si>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</si>
  <si>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</si>
  <si>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</si>
  <si>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</si>
  <si>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</si>
  <si>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</si>
  <si>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</si>
  <si>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</si>
  <si>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</si>
  <si>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</si>
  <si>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12/21/2022</t>
  </si>
  <si>
    <t>S1405</t>
  </si>
  <si>
    <t>Student_405</t>
  </si>
  <si>
    <t>4/23/2022</t>
  </si>
  <si>
    <t>S1406</t>
  </si>
  <si>
    <t>Student_406</t>
  </si>
  <si>
    <t>4/30/2022</t>
  </si>
  <si>
    <t>S1407</t>
  </si>
  <si>
    <t>Student_407</t>
  </si>
  <si>
    <t>7/25/2022</t>
  </si>
  <si>
    <t>S1408</t>
  </si>
  <si>
    <t>Student_408</t>
  </si>
  <si>
    <t>S1409</t>
  </si>
  <si>
    <t>Student_409</t>
  </si>
  <si>
    <t>9/30/2023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</si>
  <si>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</si>
  <si>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</si>
  <si>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</si>
  <si>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</si>
  <si>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</si>
  <si>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</si>
  <si>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</si>
  <si>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</si>
  <si>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1/24/2023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</si>
  <si>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</si>
  <si>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</si>
  <si>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</si>
  <si>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</si>
  <si>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</si>
  <si>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</si>
  <si>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</si>
  <si>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</si>
  <si>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9/18/2022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</si>
  <si>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</si>
  <si>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</si>
  <si>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</si>
  <si>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</si>
  <si>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</si>
  <si>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</si>
  <si>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</si>
  <si>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</si>
  <si>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11/17/2023</t>
  </si>
  <si>
    <t>S1422</t>
  </si>
  <si>
    <t>Student_422</t>
  </si>
  <si>
    <t>7/16/2022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</si>
  <si>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</si>
  <si>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</si>
  <si>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</si>
  <si>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</si>
  <si>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</si>
  <si>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</si>
  <si>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</si>
  <si>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</si>
  <si>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5/30/2024</t>
  </si>
  <si>
    <t>S1427</t>
  </si>
  <si>
    <t>Student_427</t>
  </si>
  <si>
    <t>S1428</t>
  </si>
  <si>
    <t>Student_428</t>
  </si>
  <si>
    <t>S1429</t>
  </si>
  <si>
    <t>Student_429</t>
  </si>
  <si>
    <t>3/16/2023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</si>
  <si>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</si>
  <si>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</si>
  <si>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</si>
  <si>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</si>
  <si>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</si>
  <si>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</si>
  <si>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</si>
  <si>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</si>
  <si>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6/23/2023</t>
  </si>
  <si>
    <t>S1434</t>
  </si>
  <si>
    <t>Student_434</t>
  </si>
  <si>
    <t>S1435</t>
  </si>
  <si>
    <t>Student_435</t>
  </si>
  <si>
    <t>7/21/2022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</si>
  <si>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</si>
  <si>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</si>
  <si>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</si>
  <si>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</si>
  <si>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</si>
  <si>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</si>
  <si>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</si>
  <si>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</si>
  <si>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7/29/2023</t>
  </si>
  <si>
    <t>S1440</t>
  </si>
  <si>
    <t>Student_440</t>
  </si>
  <si>
    <t>11/20/2022</t>
  </si>
  <si>
    <t>S1441</t>
  </si>
  <si>
    <t>Student_441</t>
  </si>
  <si>
    <t>S1442</t>
  </si>
  <si>
    <t>Student_442</t>
  </si>
  <si>
    <t>11/14/2023</t>
  </si>
  <si>
    <t>S1443</t>
  </si>
  <si>
    <t>Student_443</t>
  </si>
  <si>
    <t>S1444</t>
  </si>
  <si>
    <t>Student_444</t>
  </si>
  <si>
    <t>12/17/2022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</si>
  <si>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</si>
  <si>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</si>
  <si>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</si>
  <si>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</si>
  <si>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</si>
  <si>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</si>
  <si>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</si>
  <si>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</si>
  <si>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</si>
  <si>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</si>
  <si>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4/25/2024</t>
  </si>
  <si>
    <t>S1450</t>
  </si>
  <si>
    <t>Student_450</t>
  </si>
  <si>
    <t>S1451</t>
  </si>
  <si>
    <t>Student_451</t>
  </si>
  <si>
    <t>7/28/2023</t>
  </si>
  <si>
    <t>S1452</t>
  </si>
  <si>
    <t>Student_452</t>
  </si>
  <si>
    <t>4/14/2022</t>
  </si>
  <si>
    <t>S1453</t>
  </si>
  <si>
    <t>Student_453</t>
  </si>
  <si>
    <t>S1454</t>
  </si>
  <si>
    <t>Student_454</t>
  </si>
  <si>
    <t>S1455</t>
  </si>
  <si>
    <t>Student_455</t>
  </si>
  <si>
    <t>1/20/2022</t>
  </si>
  <si>
    <t>S1456</t>
  </si>
  <si>
    <t>Student_456</t>
  </si>
  <si>
    <t>4/15/2024</t>
  </si>
  <si>
    <t>S1457</t>
  </si>
  <si>
    <t>Student_457</t>
  </si>
  <si>
    <t>2/16/2024</t>
  </si>
  <si>
    <t>S1458</t>
  </si>
  <si>
    <t>Student_458</t>
  </si>
  <si>
    <t>3/28/2022</t>
  </si>
  <si>
    <t>S1459</t>
  </si>
  <si>
    <t>Student_459</t>
  </si>
  <si>
    <t>1/17/2024</t>
  </si>
  <si>
    <t>S1460</t>
  </si>
  <si>
    <t>Student_460</t>
  </si>
  <si>
    <t>3/15/2024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</si>
  <si>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</si>
  <si>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</si>
  <si>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</si>
  <si>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</si>
  <si>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</si>
  <si>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</si>
  <si>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</si>
  <si>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</si>
  <si>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2/26/2023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</si>
  <si>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</si>
  <si>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</si>
  <si>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</si>
  <si>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</si>
  <si>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</si>
  <si>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</si>
  <si>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</si>
  <si>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</si>
  <si>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2/17/2024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</si>
  <si>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</si>
  <si>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</si>
  <si>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</si>
  <si>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</si>
  <si>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</si>
  <si>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</si>
  <si>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</si>
  <si>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</si>
  <si>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11/30/2023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</si>
  <si>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</si>
  <si>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</si>
  <si>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</si>
  <si>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</si>
  <si>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</si>
  <si>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</si>
  <si>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</si>
  <si>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</si>
  <si>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</si>
  <si>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</si>
  <si>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10/29/2022</t>
  </si>
  <si>
    <t>S1478</t>
  </si>
  <si>
    <t>Student_478</t>
  </si>
  <si>
    <t>S1479</t>
  </si>
  <si>
    <t>Student_479</t>
  </si>
  <si>
    <t>5/24/2023</t>
  </si>
  <si>
    <t>S1480</t>
  </si>
  <si>
    <t>Student_480</t>
  </si>
  <si>
    <t>8/26/2022</t>
  </si>
  <si>
    <t>S1481</t>
  </si>
  <si>
    <t>Student_481</t>
  </si>
  <si>
    <t>S1482</t>
  </si>
  <si>
    <t>Student_482</t>
  </si>
  <si>
    <t>10/25/2022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</si>
  <si>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</si>
  <si>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</si>
  <si>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</si>
  <si>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</si>
  <si>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</si>
  <si>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</si>
  <si>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</si>
  <si>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</si>
  <si>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</si>
  <si>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</si>
  <si>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</si>
  <si>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</si>
  <si>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1/31/2022</t>
  </si>
  <si>
    <t>S1489</t>
  </si>
  <si>
    <t>Student_489</t>
  </si>
  <si>
    <t>10/21/2023</t>
  </si>
  <si>
    <t>S1490</t>
  </si>
  <si>
    <t>Student_490</t>
  </si>
  <si>
    <t>S1491</t>
  </si>
  <si>
    <t>Student_491</t>
  </si>
  <si>
    <t>5/13/2024</t>
  </si>
  <si>
    <t>S1492</t>
  </si>
  <si>
    <t>Student_492</t>
  </si>
  <si>
    <t>S1493</t>
  </si>
  <si>
    <t>Student_493</t>
  </si>
  <si>
    <t>S1494</t>
  </si>
  <si>
    <t>Student_494</t>
  </si>
  <si>
    <t>9/13/2022</t>
  </si>
  <si>
    <t>S1495</t>
  </si>
  <si>
    <t>Student_495</t>
  </si>
  <si>
    <t>S1496</t>
  </si>
  <si>
    <t>Student_496</t>
  </si>
  <si>
    <t>S1497</t>
  </si>
  <si>
    <t>Student_497</t>
  </si>
  <si>
    <t>7/15/2022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</si>
  <si>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</si>
  <si>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</si>
  <si>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</si>
  <si>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</si>
  <si>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</si>
  <si>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</si>
  <si>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</si>
  <si>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</si>
  <si>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</si>
  <si>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</si>
  <si>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</si>
  <si>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</si>
  <si>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</si>
  <si>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</si>
  <si>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</si>
  <si>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</si>
  <si>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5/18/2022</t>
  </si>
  <si>
    <t>S1506</t>
  </si>
  <si>
    <t>Student_506</t>
  </si>
  <si>
    <t>12/14/2023</t>
  </si>
  <si>
    <t>S1507</t>
  </si>
  <si>
    <t>Student_507</t>
  </si>
  <si>
    <t>S1508</t>
  </si>
  <si>
    <t>Student_508</t>
  </si>
  <si>
    <t>S1509</t>
  </si>
  <si>
    <t>Student_509</t>
  </si>
  <si>
    <t>2/24/2023</t>
  </si>
  <si>
    <t>S1510</t>
  </si>
  <si>
    <t>Student_510</t>
  </si>
  <si>
    <t>1/27/2024</t>
  </si>
  <si>
    <t>S1511</t>
  </si>
  <si>
    <t>Student_511</t>
  </si>
  <si>
    <t>7/29/2022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</si>
  <si>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</si>
  <si>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</si>
  <si>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</si>
  <si>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</si>
  <si>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</si>
  <si>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</si>
  <si>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</si>
  <si>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</si>
  <si>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11/24/2022</t>
  </si>
  <si>
    <t>S1516</t>
  </si>
  <si>
    <t>Student_516</t>
  </si>
  <si>
    <t>S1517</t>
  </si>
  <si>
    <t>Student_517</t>
  </si>
  <si>
    <t>3/25/2024</t>
  </si>
  <si>
    <t>S1518</t>
  </si>
  <si>
    <t>Student_518</t>
  </si>
  <si>
    <t>3/23/2024</t>
  </si>
  <si>
    <t>S1519</t>
  </si>
  <si>
    <t>Student_519</t>
  </si>
  <si>
    <t>S1520</t>
  </si>
  <si>
    <t>Student_520</t>
  </si>
  <si>
    <t>6/20/2022</t>
  </si>
  <si>
    <t>S1521</t>
  </si>
  <si>
    <t>Student_521</t>
  </si>
  <si>
    <t>6/15/2024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</si>
  <si>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</si>
  <si>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</si>
  <si>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</si>
  <si>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</si>
  <si>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</si>
  <si>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</si>
  <si>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</si>
  <si>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</si>
  <si>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</si>
  <si>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</si>
  <si>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11/19/2023</t>
  </si>
  <si>
    <t>S1527</t>
  </si>
  <si>
    <t>Student_527</t>
  </si>
  <si>
    <t>S1528</t>
  </si>
  <si>
    <t>Student_528</t>
  </si>
  <si>
    <t>S1529</t>
  </si>
  <si>
    <t>Student_529</t>
  </si>
  <si>
    <t>9/25/2023</t>
  </si>
  <si>
    <t>S1530</t>
  </si>
  <si>
    <t>Student_530</t>
  </si>
  <si>
    <t>S1531</t>
  </si>
  <si>
    <t>Student_531</t>
  </si>
  <si>
    <t>S1532</t>
  </si>
  <si>
    <t>Student_532</t>
  </si>
  <si>
    <t>9/17/2022</t>
  </si>
  <si>
    <t>S1533</t>
  </si>
  <si>
    <t>Student_533</t>
  </si>
  <si>
    <t>8/20/2023</t>
  </si>
  <si>
    <t>S1534</t>
  </si>
  <si>
    <t>Student_534</t>
  </si>
  <si>
    <t>10/16/2023</t>
  </si>
  <si>
    <t>S1535</t>
  </si>
  <si>
    <t>Student_535</t>
  </si>
  <si>
    <t>S1536</t>
  </si>
  <si>
    <t>Student_536</t>
  </si>
  <si>
    <t>S1537</t>
  </si>
  <si>
    <t>Student_537</t>
  </si>
  <si>
    <t>11/13/2022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</si>
  <si>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</si>
  <si>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</si>
  <si>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</si>
  <si>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</si>
  <si>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</si>
  <si>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</si>
  <si>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</si>
  <si>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</si>
  <si>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</si>
  <si>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</si>
  <si>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</si>
  <si>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</si>
  <si>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</si>
  <si>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</si>
  <si>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</si>
  <si>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</si>
  <si>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5/31/2023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</si>
  <si>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</si>
  <si>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</si>
  <si>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</si>
  <si>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</si>
  <si>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</si>
  <si>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</si>
  <si>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</si>
  <si>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</si>
  <si>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</si>
  <si>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</si>
  <si>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5/16/2024</t>
  </si>
  <si>
    <t>S1551</t>
  </si>
  <si>
    <t>Student_551</t>
  </si>
  <si>
    <t>3/19/2024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</si>
  <si>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</si>
  <si>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</si>
  <si>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</si>
  <si>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</si>
  <si>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</si>
  <si>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</si>
  <si>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</si>
  <si>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</si>
  <si>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</si>
  <si>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</si>
  <si>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</si>
  <si>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</si>
  <si>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5/19/2023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</si>
  <si>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</si>
  <si>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</si>
  <si>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</si>
  <si>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</si>
  <si>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</si>
  <si>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</si>
  <si>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</si>
  <si>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</si>
  <si>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</si>
  <si>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</si>
  <si>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</si>
  <si>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</si>
  <si>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</si>
  <si>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</si>
  <si>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</si>
  <si>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</si>
  <si>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12/24/2022</t>
  </si>
  <si>
    <t>S1566</t>
  </si>
  <si>
    <t>Student_566</t>
  </si>
  <si>
    <t>S1567</t>
  </si>
  <si>
    <t>Student_567</t>
  </si>
  <si>
    <t>7/13/2022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</si>
  <si>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</si>
  <si>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</si>
  <si>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</si>
  <si>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</si>
  <si>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</si>
  <si>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</si>
  <si>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</si>
  <si>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</si>
  <si>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</si>
  <si>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</si>
  <si>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</si>
  <si>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</si>
  <si>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</si>
  <si>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</si>
  <si>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</si>
  <si>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</si>
  <si>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3/22/2023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</si>
  <si>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</si>
  <si>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</si>
  <si>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</si>
  <si>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</si>
  <si>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</si>
  <si>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</si>
  <si>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</si>
  <si>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</si>
  <si>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3/29/2024</t>
  </si>
  <si>
    <t>S1580</t>
  </si>
  <si>
    <t>Student_580</t>
  </si>
  <si>
    <t>S1581</t>
  </si>
  <si>
    <t>Student_581</t>
  </si>
  <si>
    <t>S1582</t>
  </si>
  <si>
    <t>Student_582</t>
  </si>
  <si>
    <t>7/21/2023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</si>
  <si>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</si>
  <si>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</si>
  <si>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</si>
  <si>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</si>
  <si>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</si>
  <si>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</si>
  <si>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</si>
  <si>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</si>
  <si>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</si>
  <si>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</si>
  <si>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</si>
  <si>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</si>
  <si>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5/31/2022</t>
  </si>
  <si>
    <t>S1589</t>
  </si>
  <si>
    <t>Student_589</t>
  </si>
  <si>
    <t>S1590</t>
  </si>
  <si>
    <t>Student_590</t>
  </si>
  <si>
    <t>S1591</t>
  </si>
  <si>
    <t>Student_591</t>
  </si>
  <si>
    <t>5/29/2024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</si>
  <si>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</si>
  <si>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</si>
  <si>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</si>
  <si>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</si>
  <si>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</si>
  <si>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</si>
  <si>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</si>
  <si>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</si>
  <si>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6/28/2022</t>
  </si>
  <si>
    <t>S1596</t>
  </si>
  <si>
    <t>Student_596</t>
  </si>
  <si>
    <t>S1597</t>
  </si>
  <si>
    <t>Student_597</t>
  </si>
  <si>
    <t>10/28/2023</t>
  </si>
  <si>
    <t>S1598</t>
  </si>
  <si>
    <t>Student_598</t>
  </si>
  <si>
    <t>6/22/2022</t>
  </si>
  <si>
    <t>S1599</t>
  </si>
  <si>
    <t>Student_599</t>
  </si>
  <si>
    <t>10/14/2022</t>
  </si>
  <si>
    <t>S1600</t>
  </si>
  <si>
    <t>Student_600</t>
  </si>
  <si>
    <t>S1601</t>
  </si>
  <si>
    <t>Student_601</t>
  </si>
  <si>
    <t>9/15/2023</t>
  </si>
  <si>
    <t>S1602</t>
  </si>
  <si>
    <t>Student_602</t>
  </si>
  <si>
    <t>7/18/2023</t>
  </si>
  <si>
    <t>S1603</t>
  </si>
  <si>
    <t>Student_603</t>
  </si>
  <si>
    <t>5/20/2024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</si>
  <si>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</si>
  <si>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</si>
  <si>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</si>
  <si>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</si>
  <si>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</si>
  <si>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</si>
  <si>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</si>
  <si>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</si>
  <si>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</si>
  <si>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</si>
  <si>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6/28/2023</t>
  </si>
  <si>
    <t>S1609</t>
  </si>
  <si>
    <t>Student_609</t>
  </si>
  <si>
    <t>5/23/2024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</si>
  <si>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</si>
  <si>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</si>
  <si>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</si>
  <si>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</si>
  <si>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</si>
  <si>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</si>
  <si>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</si>
  <si>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</si>
  <si>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</si>
  <si>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</si>
  <si>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</si>
  <si>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</si>
  <si>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</si>
  <si>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</si>
  <si>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</si>
  <si>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</si>
  <si>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5/26/2023</t>
  </si>
  <si>
    <t>S1618</t>
  </si>
  <si>
    <t>Student_618</t>
  </si>
  <si>
    <t>2/23/2024</t>
  </si>
  <si>
    <t>S1619</t>
  </si>
  <si>
    <t>Student_619</t>
  </si>
  <si>
    <t>4/18/2022</t>
  </si>
  <si>
    <t>S1620</t>
  </si>
  <si>
    <t>Student_620</t>
  </si>
  <si>
    <t>S1621</t>
  </si>
  <si>
    <t>Student_621</t>
  </si>
  <si>
    <t>3/21/2023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</si>
  <si>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</si>
  <si>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</si>
  <si>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</si>
  <si>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</si>
  <si>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</si>
  <si>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</si>
  <si>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</si>
  <si>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</si>
  <si>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</si>
  <si>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</si>
  <si>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6/24/2023</t>
  </si>
  <si>
    <t>S1627</t>
  </si>
  <si>
    <t>Student_627</t>
  </si>
  <si>
    <t>8/24/2023</t>
  </si>
  <si>
    <t>S1628</t>
  </si>
  <si>
    <t>Student_628</t>
  </si>
  <si>
    <t>4/30/2023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</si>
  <si>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</si>
  <si>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</si>
  <si>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</si>
  <si>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</si>
  <si>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</si>
  <si>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</si>
  <si>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</si>
  <si>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</si>
  <si>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5/20/2022</t>
  </si>
  <si>
    <t>S1633</t>
  </si>
  <si>
    <t>Student_633</t>
  </si>
  <si>
    <t>6/19/2023</t>
  </si>
  <si>
    <t>S1634</t>
  </si>
  <si>
    <t>Student_634</t>
  </si>
  <si>
    <t>9/23/2022</t>
  </si>
  <si>
    <t>S1635</t>
  </si>
  <si>
    <t>Student_635</t>
  </si>
  <si>
    <t>S1636</t>
  </si>
  <si>
    <t>Student_636</t>
  </si>
  <si>
    <t>S1637</t>
  </si>
  <si>
    <t>Student_637</t>
  </si>
  <si>
    <t>10/25/2023</t>
  </si>
  <si>
    <t>S1638</t>
  </si>
  <si>
    <t>Student_638</t>
  </si>
  <si>
    <t>2/20/2024</t>
  </si>
  <si>
    <t>S1639</t>
  </si>
  <si>
    <t>Student_639</t>
  </si>
  <si>
    <t>12/25/2022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</si>
  <si>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</si>
  <si>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</si>
  <si>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</si>
  <si>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</si>
  <si>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</si>
  <si>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</si>
  <si>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</si>
  <si>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</si>
  <si>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</si>
  <si>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</si>
  <si>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</si>
  <si>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</si>
  <si>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</si>
  <si>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</si>
  <si>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</si>
  <si>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</si>
  <si>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</si>
  <si>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</si>
  <si>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</si>
  <si>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</si>
  <si>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</si>
  <si>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</si>
  <si>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</si>
  <si>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</si>
  <si>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</si>
  <si>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</si>
  <si>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</si>
  <si>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</si>
  <si>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12/28/2022</t>
  </si>
  <si>
    <t>S1654</t>
  </si>
  <si>
    <t>Student_654</t>
  </si>
  <si>
    <t>7/27/2023</t>
  </si>
  <si>
    <t>S1655</t>
  </si>
  <si>
    <t>Student_655</t>
  </si>
  <si>
    <t>S1656</t>
  </si>
  <si>
    <t>Student_656</t>
  </si>
  <si>
    <t>5/19/2024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</si>
  <si>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</si>
  <si>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</si>
  <si>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</si>
  <si>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</si>
  <si>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</si>
  <si>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</si>
  <si>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</si>
  <si>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</si>
  <si>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</si>
  <si>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</si>
  <si>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</si>
  <si>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</si>
  <si>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9/21/2023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</si>
  <si>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</si>
  <si>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</si>
  <si>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</si>
  <si>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</si>
  <si>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</si>
  <si>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</si>
  <si>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</si>
  <si>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</si>
  <si>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</si>
  <si>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</si>
  <si>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9/26/2023</t>
  </si>
  <si>
    <t>S1668</t>
  </si>
  <si>
    <t>Student_668</t>
  </si>
  <si>
    <t>10/22/2022</t>
  </si>
  <si>
    <t>S1669</t>
  </si>
  <si>
    <t>Student_669</t>
  </si>
  <si>
    <t>S1670</t>
  </si>
  <si>
    <t>Student_670</t>
  </si>
  <si>
    <t>10/13/2023</t>
  </si>
  <si>
    <t>S1671</t>
  </si>
  <si>
    <t>Student_671</t>
  </si>
  <si>
    <t>5/25/2023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</si>
  <si>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</si>
  <si>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</si>
  <si>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</si>
  <si>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</si>
  <si>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</si>
  <si>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</si>
  <si>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</si>
  <si>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</si>
  <si>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</si>
  <si>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</si>
  <si>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</si>
  <si>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</si>
  <si>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</si>
  <si>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</si>
  <si>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</si>
  <si>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</si>
  <si>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3/16/2022</t>
  </si>
  <si>
    <t>S1680</t>
  </si>
  <si>
    <t>Student_680</t>
  </si>
  <si>
    <t>3/17/2023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</si>
  <si>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</si>
  <si>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</si>
  <si>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</si>
  <si>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</si>
  <si>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</si>
  <si>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</si>
  <si>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</si>
  <si>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</si>
  <si>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12/25/2023</t>
  </si>
  <si>
    <t>S1685</t>
  </si>
  <si>
    <t>Student_685</t>
  </si>
  <si>
    <t>S1686</t>
  </si>
  <si>
    <t>Student_686</t>
  </si>
  <si>
    <t>S1687</t>
  </si>
  <si>
    <t>Student_687</t>
  </si>
  <si>
    <t>10/17/2023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</si>
  <si>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</si>
  <si>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</si>
  <si>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</si>
  <si>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</si>
  <si>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</si>
  <si>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</si>
  <si>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</si>
  <si>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</si>
  <si>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11/21/2023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</si>
  <si>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</si>
  <si>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</si>
  <si>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</si>
  <si>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</si>
  <si>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</si>
  <si>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</si>
  <si>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</si>
  <si>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</si>
  <si>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</si>
  <si>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</si>
  <si>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</si>
  <si>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</si>
  <si>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</si>
  <si>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</si>
  <si>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</si>
  <si>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</si>
  <si>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</si>
  <si>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</si>
  <si>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</si>
  <si>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</si>
  <si>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</si>
  <si>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</si>
  <si>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</si>
  <si>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</si>
  <si>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</si>
  <si>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</si>
  <si>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</si>
  <si>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</si>
  <si>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</si>
  <si>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</si>
  <si>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</si>
  <si>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</si>
  <si>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12/26/2022</t>
  </si>
  <si>
    <t>S1708</t>
  </si>
  <si>
    <t>Student_708</t>
  </si>
  <si>
    <t>S1709</t>
  </si>
  <si>
    <t>Student_709</t>
  </si>
  <si>
    <t>S1710</t>
  </si>
  <si>
    <t>Student_710</t>
  </si>
  <si>
    <t>12/13/2023</t>
  </si>
  <si>
    <t>S1711</t>
  </si>
  <si>
    <t>Student_711</t>
  </si>
  <si>
    <t>3/13/2022</t>
  </si>
  <si>
    <t>S1712</t>
  </si>
  <si>
    <t>Student_712</t>
  </si>
  <si>
    <t>8/15/2023</t>
  </si>
  <si>
    <t>S1713</t>
  </si>
  <si>
    <t>Student_713</t>
  </si>
  <si>
    <t>S1714</t>
  </si>
  <si>
    <t>Student_714</t>
  </si>
  <si>
    <t>S1715</t>
  </si>
  <si>
    <t>Student_715</t>
  </si>
  <si>
    <t>11/15/2022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</si>
  <si>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</si>
  <si>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</si>
  <si>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</si>
  <si>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</si>
  <si>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</si>
  <si>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</si>
  <si>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</si>
  <si>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</si>
  <si>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</si>
  <si>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</si>
  <si>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9/24/2022</t>
  </si>
  <si>
    <t>S1721</t>
  </si>
  <si>
    <t>Student_721</t>
  </si>
  <si>
    <t>S1722</t>
  </si>
  <si>
    <t>Student_722</t>
  </si>
  <si>
    <t>1/30/2022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</si>
  <si>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</si>
  <si>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</si>
  <si>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</si>
  <si>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</si>
  <si>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</si>
  <si>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</si>
  <si>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</si>
  <si>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</si>
  <si>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</si>
  <si>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</si>
  <si>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</si>
  <si>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</si>
  <si>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</si>
  <si>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</si>
  <si>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</si>
  <si>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</si>
  <si>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1/23/2023</t>
  </si>
  <si>
    <t>S1731</t>
  </si>
  <si>
    <t>Student_731</t>
  </si>
  <si>
    <t>S1732</t>
  </si>
  <si>
    <t>Student_732</t>
  </si>
  <si>
    <t>S1733</t>
  </si>
  <si>
    <t>Student_733</t>
  </si>
  <si>
    <t>8/27/2022</t>
  </si>
  <si>
    <t>S1734</t>
  </si>
  <si>
    <t>Student_734</t>
  </si>
  <si>
    <t>S1735</t>
  </si>
  <si>
    <t>Student_735</t>
  </si>
  <si>
    <t>6/19/2022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</si>
  <si>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</si>
  <si>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</si>
  <si>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</si>
  <si>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</si>
  <si>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</si>
  <si>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</si>
  <si>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</si>
  <si>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</si>
  <si>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</si>
  <si>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</si>
  <si>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</si>
  <si>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</si>
  <si>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5/16/2022</t>
  </si>
  <si>
    <t>S1742</t>
  </si>
  <si>
    <t>Student_742</t>
  </si>
  <si>
    <t>S1743</t>
  </si>
  <si>
    <t>Student_743</t>
  </si>
  <si>
    <t>S1744</t>
  </si>
  <si>
    <t>Student_744</t>
  </si>
  <si>
    <t>8/31/2022</t>
  </si>
  <si>
    <t>S1745</t>
  </si>
  <si>
    <t>Student_745</t>
  </si>
  <si>
    <t>10/17/2022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</si>
  <si>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</si>
  <si>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</si>
  <si>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</si>
  <si>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</si>
  <si>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</si>
  <si>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</si>
  <si>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</si>
  <si>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</si>
  <si>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</si>
  <si>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</si>
  <si>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</si>
  <si>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</si>
  <si>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</si>
  <si>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</si>
  <si>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</si>
  <si>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</si>
  <si>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</si>
  <si>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</si>
  <si>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</si>
  <si>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</si>
  <si>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10/28/2022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</si>
  <si>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</si>
  <si>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</si>
  <si>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</si>
  <si>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</si>
  <si>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</si>
  <si>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</si>
  <si>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</si>
  <si>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</si>
  <si>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</si>
  <si>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</si>
  <si>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4/29/2023</t>
  </si>
  <si>
    <t>S1761</t>
  </si>
  <si>
    <t>Student_761</t>
  </si>
  <si>
    <t>S1762</t>
  </si>
  <si>
    <t>Student_762</t>
  </si>
  <si>
    <t>8/14/2022</t>
  </si>
  <si>
    <t>S1763</t>
  </si>
  <si>
    <t>Student_763</t>
  </si>
  <si>
    <t>1/20/2024</t>
  </si>
  <si>
    <t>S1764</t>
  </si>
  <si>
    <t>Student_764</t>
  </si>
  <si>
    <t>3/18/2023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</si>
  <si>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</si>
  <si>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</si>
  <si>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</si>
  <si>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</si>
  <si>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</si>
  <si>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</si>
  <si>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</si>
  <si>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</si>
  <si>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</si>
  <si>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</si>
  <si>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</si>
  <si>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</si>
  <si>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</si>
  <si>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</si>
  <si>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</si>
  <si>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</si>
  <si>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</si>
  <si>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</si>
  <si>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6/23/2022</t>
  </si>
  <si>
    <t>S1774</t>
  </si>
  <si>
    <t>Student_774</t>
  </si>
  <si>
    <t>S1775</t>
  </si>
  <si>
    <t>Student_775</t>
  </si>
  <si>
    <t>10/31/2023</t>
  </si>
  <si>
    <t>S1776</t>
  </si>
  <si>
    <t>Student_776</t>
  </si>
  <si>
    <t>S1777</t>
  </si>
  <si>
    <t>Student_777</t>
  </si>
  <si>
    <t>11/18/2023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</si>
  <si>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</si>
  <si>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</si>
  <si>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</si>
  <si>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</si>
  <si>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</si>
  <si>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</si>
  <si>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</si>
  <si>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</si>
  <si>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</si>
  <si>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</si>
  <si>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</si>
  <si>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</si>
  <si>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</si>
  <si>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</si>
  <si>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10/19/2023</t>
  </si>
  <si>
    <t>S1785</t>
  </si>
  <si>
    <t>Student_785</t>
  </si>
  <si>
    <t>8/14/2023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</si>
  <si>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</si>
  <si>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</si>
  <si>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</si>
  <si>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</si>
  <si>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</si>
  <si>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</si>
  <si>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</si>
  <si>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</si>
  <si>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</si>
  <si>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</si>
  <si>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</si>
  <si>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</si>
  <si>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</si>
  <si>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</si>
  <si>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</si>
  <si>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</si>
  <si>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</si>
  <si>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</si>
  <si>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</si>
  <si>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</si>
  <si>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</si>
  <si>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</si>
  <si>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</si>
  <si>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</si>
  <si>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</si>
  <si>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</si>
  <si>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11/28/2023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</si>
  <si>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</si>
  <si>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</si>
  <si>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</si>
  <si>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</si>
  <si>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</si>
  <si>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</si>
  <si>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</si>
  <si>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</si>
  <si>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</si>
  <si>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</si>
  <si>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</si>
  <si>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</si>
  <si>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4/18/2023</t>
  </si>
  <si>
    <t>S1805</t>
  </si>
  <si>
    <t>Student_805</t>
  </si>
  <si>
    <t>1/23/2024</t>
  </si>
  <si>
    <t>S1806</t>
  </si>
  <si>
    <t>Student_806</t>
  </si>
  <si>
    <t>S1807</t>
  </si>
  <si>
    <t>Student_807</t>
  </si>
  <si>
    <t>3/30/2024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</si>
  <si>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</si>
  <si>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</si>
  <si>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</si>
  <si>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</si>
  <si>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</si>
  <si>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</si>
  <si>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</si>
  <si>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</si>
  <si>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</si>
  <si>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</si>
  <si>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</si>
  <si>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</si>
  <si>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</si>
  <si>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</si>
  <si>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</si>
  <si>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</si>
  <si>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5/22/2024</t>
  </si>
  <si>
    <t>S1816</t>
  </si>
  <si>
    <t>Student_816</t>
  </si>
  <si>
    <t>S1817</t>
  </si>
  <si>
    <t>Student_817</t>
  </si>
  <si>
    <t>S1818</t>
  </si>
  <si>
    <t>Student_818</t>
  </si>
  <si>
    <t>6/18/2024</t>
  </si>
  <si>
    <t>S1819</t>
  </si>
  <si>
    <t>Student_819</t>
  </si>
  <si>
    <t>S1820</t>
  </si>
  <si>
    <t>Student_820</t>
  </si>
  <si>
    <t>S1821</t>
  </si>
  <si>
    <t>Student_821</t>
  </si>
  <si>
    <t>7/28/2022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</si>
  <si>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</si>
  <si>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</si>
  <si>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</si>
  <si>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</si>
  <si>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</si>
  <si>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</si>
  <si>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</si>
  <si>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</si>
  <si>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</si>
  <si>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</si>
  <si>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4/27/2024</t>
  </si>
  <si>
    <t>S1827</t>
  </si>
  <si>
    <t>Student_827</t>
  </si>
  <si>
    <t>3/18/2022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</si>
  <si>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</si>
  <si>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</si>
  <si>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</si>
  <si>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</si>
  <si>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</si>
  <si>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</si>
  <si>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</si>
  <si>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</si>
  <si>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2/23/2022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</si>
  <si>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</si>
  <si>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</si>
  <si>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</si>
  <si>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</si>
  <si>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</si>
  <si>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</si>
  <si>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</si>
  <si>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</si>
  <si>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</si>
  <si>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</si>
  <si>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</si>
  <si>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</si>
  <si>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</si>
  <si>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</si>
  <si>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</si>
  <si>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</si>
  <si>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</si>
  <si>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</si>
  <si>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</si>
  <si>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</si>
  <si>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</si>
  <si>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</si>
  <si>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6/15/2022</t>
  </si>
  <si>
    <t>S1843</t>
  </si>
  <si>
    <t>Student_843</t>
  </si>
  <si>
    <t>10/19/2022</t>
  </si>
  <si>
    <t>S1844</t>
  </si>
  <si>
    <t>Student_844</t>
  </si>
  <si>
    <t>S1845</t>
  </si>
  <si>
    <t>Student_845</t>
  </si>
  <si>
    <t>S1846</t>
  </si>
  <si>
    <t>Student_846</t>
  </si>
  <si>
    <t>2/20/2022</t>
  </si>
  <si>
    <t>S1847</t>
  </si>
  <si>
    <t>Student_847</t>
  </si>
  <si>
    <t>8/19/2022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</si>
  <si>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</si>
  <si>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</si>
  <si>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</si>
  <si>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</si>
  <si>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</si>
  <si>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</si>
  <si>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</si>
  <si>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</si>
  <si>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</si>
  <si>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</si>
  <si>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</si>
  <si>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</si>
  <si>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</si>
  <si>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</si>
  <si>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</si>
  <si>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</si>
  <si>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</si>
  <si>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</si>
  <si>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</si>
  <si>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</si>
  <si>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7/22/2022</t>
  </si>
  <si>
    <t>S1858</t>
  </si>
  <si>
    <t>Student_858</t>
  </si>
  <si>
    <t>11/20/2023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</si>
  <si>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</si>
  <si>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</si>
  <si>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</si>
  <si>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</si>
  <si>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</si>
  <si>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</si>
  <si>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</si>
  <si>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</si>
  <si>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</si>
  <si>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</si>
  <si>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</si>
  <si>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</si>
  <si>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</si>
  <si>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</si>
  <si>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</si>
  <si>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</si>
  <si>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3/14/2023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</si>
  <si>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</si>
  <si>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</si>
  <si>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</si>
  <si>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</si>
  <si>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</si>
  <si>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</si>
  <si>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</si>
  <si>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</si>
  <si>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</si>
  <si>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</si>
  <si>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11/23/2022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</si>
  <si>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</si>
  <si>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</si>
  <si>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</si>
  <si>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</si>
  <si>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</si>
  <si>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</si>
  <si>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</si>
  <si>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</si>
  <si>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4/23/2024</t>
  </si>
  <si>
    <t>S1876</t>
  </si>
  <si>
    <t>Student_876</t>
  </si>
  <si>
    <t>S1877</t>
  </si>
  <si>
    <t>Student_877</t>
  </si>
  <si>
    <t>4/25/2023</t>
  </si>
  <si>
    <t>S1878</t>
  </si>
  <si>
    <t>Student_878</t>
  </si>
  <si>
    <t>S1879</t>
  </si>
  <si>
    <t>Student_879</t>
  </si>
  <si>
    <t>8/23/2022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</si>
  <si>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</si>
  <si>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</si>
  <si>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</si>
  <si>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</si>
  <si>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</si>
  <si>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</si>
  <si>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</si>
  <si>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</si>
  <si>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</si>
  <si>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</si>
  <si>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</si>
  <si>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</si>
  <si>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</si>
  <si>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</si>
  <si>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</si>
  <si>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</si>
  <si>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</si>
  <si>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</si>
  <si>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</si>
  <si>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</si>
  <si>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</si>
  <si>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</si>
  <si>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1/31/2024</t>
  </si>
  <si>
    <t>S1891</t>
  </si>
  <si>
    <t>Student_891</t>
  </si>
  <si>
    <t>4/13/2022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</si>
  <si>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</si>
  <si>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</si>
  <si>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</si>
  <si>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</si>
  <si>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</si>
  <si>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</si>
  <si>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</si>
  <si>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</si>
  <si>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11/27/2022</t>
  </si>
  <si>
    <t>S1896</t>
  </si>
  <si>
    <t>Student_896</t>
  </si>
  <si>
    <t>S1897</t>
  </si>
  <si>
    <t>Student_897</t>
  </si>
  <si>
    <t>7/26/2022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</si>
  <si>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</si>
  <si>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</si>
  <si>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</si>
  <si>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</si>
  <si>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</si>
  <si>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</si>
  <si>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</si>
  <si>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</si>
  <si>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1/22/2023</t>
  </si>
  <si>
    <t>S1902</t>
  </si>
  <si>
    <t>Student_902</t>
  </si>
  <si>
    <t>S1903</t>
  </si>
  <si>
    <t>Student_903</t>
  </si>
  <si>
    <t>8/17/2022</t>
  </si>
  <si>
    <t>S1904</t>
  </si>
  <si>
    <t>Student_904</t>
  </si>
  <si>
    <t>S1905</t>
  </si>
  <si>
    <t>Student_905</t>
  </si>
  <si>
    <t>S1906</t>
  </si>
  <si>
    <t>Student_906</t>
  </si>
  <si>
    <t>4/20/2024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</si>
  <si>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</si>
  <si>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</si>
  <si>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</si>
  <si>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</si>
  <si>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</si>
  <si>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</si>
  <si>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</si>
  <si>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</si>
  <si>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</si>
  <si>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</si>
  <si>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6/14/2024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</si>
  <si>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</si>
  <si>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</si>
  <si>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</si>
  <si>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</si>
  <si>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</si>
  <si>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</si>
  <si>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</si>
  <si>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</si>
  <si>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3/26/2022</t>
  </si>
  <si>
    <t>S1916</t>
  </si>
  <si>
    <t>Student_916</t>
  </si>
  <si>
    <t>4/28/2024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</si>
  <si>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</si>
  <si>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</si>
  <si>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</si>
  <si>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</si>
  <si>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</si>
  <si>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</si>
  <si>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</si>
  <si>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</si>
  <si>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11/16/2023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</si>
  <si>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</si>
  <si>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</si>
  <si>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</si>
  <si>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</si>
  <si>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</si>
  <si>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</si>
  <si>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</si>
  <si>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</si>
  <si>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7/20/2022</t>
  </si>
  <si>
    <t>S1925</t>
  </si>
  <si>
    <t>Student_925</t>
  </si>
  <si>
    <t>S1926</t>
  </si>
  <si>
    <t>Student_926</t>
  </si>
  <si>
    <t>5/27/2022</t>
  </si>
  <si>
    <t>S1927</t>
  </si>
  <si>
    <t>Student_927</t>
  </si>
  <si>
    <t>S1928</t>
  </si>
  <si>
    <t>Student_928</t>
  </si>
  <si>
    <t>S1929</t>
  </si>
  <si>
    <t>Student_929</t>
  </si>
  <si>
    <t>4/24/2022</t>
  </si>
  <si>
    <t>S1930</t>
  </si>
  <si>
    <t>Student_930</t>
  </si>
  <si>
    <t>6/26/2022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</si>
  <si>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</si>
  <si>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</si>
  <si>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</si>
  <si>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</si>
  <si>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</si>
  <si>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</si>
  <si>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</si>
  <si>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</si>
  <si>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6/26/2023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</si>
  <si>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</si>
  <si>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</si>
  <si>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</si>
  <si>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</si>
  <si>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</si>
  <si>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</si>
  <si>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</si>
  <si>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</si>
  <si>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</si>
  <si>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</si>
  <si>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11/22/2022</t>
  </si>
  <si>
    <t>S1940</t>
  </si>
  <si>
    <t>Student_940</t>
  </si>
  <si>
    <t>S1941</t>
  </si>
  <si>
    <t>Student_941</t>
  </si>
  <si>
    <t>S1942</t>
  </si>
  <si>
    <t>Student_942</t>
  </si>
  <si>
    <t>3/22/2024</t>
  </si>
  <si>
    <t>S1943</t>
  </si>
  <si>
    <t>Student_943</t>
  </si>
  <si>
    <t>S1944</t>
  </si>
  <si>
    <t>Student_944</t>
  </si>
  <si>
    <t>7/27/2022</t>
  </si>
  <si>
    <t>S1945</t>
  </si>
  <si>
    <t>Student_945</t>
  </si>
  <si>
    <t>S1946</t>
  </si>
  <si>
    <t>Student_946</t>
  </si>
  <si>
    <t>1/24/2024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</si>
  <si>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</si>
  <si>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</si>
  <si>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</si>
  <si>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</si>
  <si>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</si>
  <si>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</si>
  <si>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</si>
  <si>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</si>
  <si>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</si>
  <si>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</si>
  <si>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</si>
  <si>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</si>
  <si>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</si>
  <si>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</si>
  <si>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</si>
  <si>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</si>
  <si>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</si>
  <si>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</si>
  <si>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</si>
  <si>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</si>
  <si>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</si>
  <si>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</si>
  <si>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</si>
  <si>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</si>
  <si>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</si>
  <si>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</si>
  <si>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</si>
  <si>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</si>
  <si>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</si>
  <si>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</si>
  <si>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</si>
  <si>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</si>
  <si>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</si>
  <si>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</si>
  <si>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</si>
  <si>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</si>
  <si>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</si>
  <si>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</si>
  <si>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1/18/2024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</si>
  <si>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</si>
  <si>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</si>
  <si>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</si>
  <si>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</si>
  <si>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</si>
  <si>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</si>
  <si>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</si>
  <si>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</si>
  <si>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</si>
  <si>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</si>
  <si>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</si>
  <si>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</si>
  <si>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</si>
  <si>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</si>
  <si>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</si>
  <si>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</si>
  <si>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</si>
  <si>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</si>
  <si>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</si>
  <si>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</si>
  <si>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</si>
  <si>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</si>
  <si>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</si>
  <si>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</si>
  <si>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</si>
  <si>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</si>
  <si>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</si>
  <si>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</si>
  <si>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4/16/2024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</si>
  <si>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</si>
  <si>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</si>
  <si>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</si>
  <si>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</si>
  <si>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</si>
  <si>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</si>
  <si>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</si>
  <si>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</si>
  <si>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</si>
  <si>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</si>
  <si>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</si>
  <si>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</si>
  <si>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</si>
  <si>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</si>
  <si>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</si>
  <si>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</si>
  <si>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</si>
  <si>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</si>
  <si>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</si>
  <si>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</si>
  <si>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</si>
  <si>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</si>
  <si>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</si>
  <si>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</si>
  <si>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</si>
  <si>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</si>
  <si>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</si>
  <si>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</si>
  <si>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</si>
  <si>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</si>
  <si>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</si>
  <si>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</si>
  <si>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</si>
  <si>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</si>
  <si>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12/22/2022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</si>
  <si>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</si>
  <si>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</si>
  <si>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</si>
  <si>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</si>
  <si>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</si>
  <si>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</si>
  <si>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</si>
  <si>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</si>
  <si>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</si>
  <si>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</si>
  <si>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</si>
  <si>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</si>
  <si>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</si>
  <si>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</si>
  <si>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3/14/2024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</si>
  <si>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</si>
  <si>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</si>
  <si>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</si>
  <si>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</si>
  <si>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</si>
  <si>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</si>
  <si>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</si>
  <si>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</si>
  <si>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</si>
  <si>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</si>
  <si>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12/21/2023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</si>
  <si>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</si>
  <si>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</si>
  <si>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</si>
  <si>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</si>
  <si>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</si>
  <si>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</si>
  <si>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</si>
  <si>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</si>
  <si>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</si>
  <si>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</si>
  <si>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</si>
  <si>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</si>
  <si>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</si>
  <si>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</si>
  <si>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</si>
  <si>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</si>
  <si>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</si>
  <si>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</si>
  <si>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</si>
  <si>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</si>
  <si>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</si>
  <si>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</si>
  <si>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</si>
  <si>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</si>
  <si>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</si>
  <si>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</si>
  <si>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</si>
  <si>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</si>
  <si>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4/28/2022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</si>
  <si>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</si>
  <si>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</si>
  <si>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</si>
  <si>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</si>
  <si>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</si>
  <si>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</si>
  <si>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</si>
  <si>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</si>
  <si>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</si>
  <si>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</si>
  <si>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</si>
  <si>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</si>
  <si>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</si>
  <si>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</si>
  <si>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</si>
  <si>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</si>
  <si>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</si>
  <si>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</si>
  <si>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7/23/2023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</si>
  <si>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</si>
  <si>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</si>
  <si>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</si>
  <si>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</si>
  <si>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</si>
  <si>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</si>
  <si>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</si>
  <si>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</si>
  <si>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</si>
  <si>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</si>
  <si>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</si>
  <si>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</si>
  <si>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</si>
  <si>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</si>
  <si>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</si>
  <si>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</si>
  <si>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5/13/2022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</si>
  <si>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</si>
  <si>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</si>
  <si>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</si>
  <si>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</si>
  <si>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</si>
  <si>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</si>
  <si>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</si>
  <si>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</si>
  <si>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</si>
  <si>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</si>
  <si>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6/27/2023</t>
  </si>
  <si>
    <t>S2045</t>
  </si>
  <si>
    <t>Student_1045</t>
  </si>
  <si>
    <t>S2046</t>
  </si>
  <si>
    <t>Student_1046</t>
  </si>
  <si>
    <t>S2047</t>
  </si>
  <si>
    <t>Student_1047</t>
  </si>
  <si>
    <t>6/30/2022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</si>
  <si>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</si>
  <si>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</si>
  <si>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</si>
  <si>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</si>
  <si>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</si>
  <si>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</si>
  <si>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</si>
  <si>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</si>
  <si>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</si>
  <si>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</si>
  <si>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</si>
  <si>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</si>
  <si>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</si>
  <si>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</si>
  <si>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</si>
  <si>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</si>
  <si>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</si>
  <si>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</si>
  <si>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</si>
  <si>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</si>
  <si>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</si>
  <si>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</si>
  <si>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</si>
  <si>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</si>
  <si>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</si>
  <si>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</si>
  <si>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</si>
  <si>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</si>
  <si>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</si>
  <si>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</si>
  <si>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7/17/2023</t>
  </si>
  <si>
    <t>S2063</t>
  </si>
  <si>
    <t>Student_1063</t>
  </si>
  <si>
    <t>10/15/2022</t>
  </si>
  <si>
    <t>S2064</t>
  </si>
  <si>
    <t>Student_1064</t>
  </si>
  <si>
    <t>S2065</t>
  </si>
  <si>
    <t>Student_1065</t>
  </si>
  <si>
    <t>S2066</t>
  </si>
  <si>
    <t>Student_1066</t>
  </si>
  <si>
    <t>4/13/2024</t>
  </si>
  <si>
    <t>S2067</t>
  </si>
  <si>
    <t>Student_1067</t>
  </si>
  <si>
    <t>7/13/2023</t>
  </si>
  <si>
    <t>S2068</t>
  </si>
  <si>
    <t>Student_1068</t>
  </si>
  <si>
    <t>6/13/2023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</si>
  <si>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</si>
  <si>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</si>
  <si>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</si>
  <si>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</si>
  <si>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</si>
  <si>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</si>
  <si>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</si>
  <si>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</si>
  <si>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</si>
  <si>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</si>
  <si>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</si>
  <si>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</si>
  <si>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7/19/2023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</si>
  <si>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</si>
  <si>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</si>
  <si>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</si>
  <si>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</si>
  <si>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</si>
  <si>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</si>
  <si>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</si>
  <si>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</si>
  <si>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</si>
  <si>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</si>
  <si>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</si>
  <si>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</si>
  <si>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</si>
  <si>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</si>
  <si>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</si>
  <si>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</si>
  <si>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</si>
  <si>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</si>
  <si>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</si>
  <si>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</si>
  <si>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</si>
  <si>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</si>
  <si>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</si>
  <si>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</si>
  <si>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</si>
  <si>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</si>
  <si>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</si>
  <si>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</si>
  <si>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</si>
  <si>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</si>
  <si>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</si>
  <si>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</si>
  <si>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</si>
  <si>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</si>
  <si>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</si>
  <si>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</si>
  <si>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3/15/2022</t>
  </si>
  <si>
    <t>S2093</t>
  </si>
  <si>
    <t>Student_1093</t>
  </si>
  <si>
    <t>12/23/2023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</si>
  <si>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</si>
  <si>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</si>
  <si>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</si>
  <si>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</si>
  <si>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</si>
  <si>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</si>
  <si>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</si>
  <si>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</si>
  <si>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</si>
  <si>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</si>
  <si>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</si>
  <si>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</si>
  <si>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</si>
  <si>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</si>
  <si>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</si>
  <si>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</si>
  <si>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</si>
  <si>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</si>
  <si>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</si>
  <si>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</si>
  <si>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</si>
  <si>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</si>
  <si>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</si>
  <si>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</si>
  <si>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</si>
  <si>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</si>
  <si>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</si>
  <si>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</si>
  <si>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</si>
  <si>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</si>
  <si>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</si>
  <si>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</si>
  <si>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11/26/2022</t>
  </si>
  <si>
    <t>S2110</t>
  </si>
  <si>
    <t>Student_1110</t>
  </si>
  <si>
    <t>12/18/2023</t>
  </si>
  <si>
    <t>S2111</t>
  </si>
  <si>
    <t>Student_1111</t>
  </si>
  <si>
    <t>S2112</t>
  </si>
  <si>
    <t>Student_1112</t>
  </si>
  <si>
    <t>11/14/2022</t>
  </si>
  <si>
    <t>S2113</t>
  </si>
  <si>
    <t>Student_1113</t>
  </si>
  <si>
    <t>2/15/2024</t>
  </si>
  <si>
    <t>S2114</t>
  </si>
  <si>
    <t>Student_1114</t>
  </si>
  <si>
    <t>5/17/2024</t>
  </si>
  <si>
    <t>S2115</t>
  </si>
  <si>
    <t>Student_1115</t>
  </si>
  <si>
    <t>S2116</t>
  </si>
  <si>
    <t>Student_1116</t>
  </si>
  <si>
    <t>S2117</t>
  </si>
  <si>
    <t>Student_1117</t>
  </si>
  <si>
    <t>2/25/2024</t>
  </si>
  <si>
    <t>S2118</t>
  </si>
  <si>
    <t>Student_1118</t>
  </si>
  <si>
    <t>S2119</t>
  </si>
  <si>
    <t>Student_1119</t>
  </si>
  <si>
    <t>4/24/2024</t>
  </si>
  <si>
    <t>S2120</t>
  </si>
  <si>
    <t>Student_1120</t>
  </si>
  <si>
    <t>12/28/2023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</si>
  <si>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</si>
  <si>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</si>
  <si>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</si>
  <si>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</si>
  <si>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</si>
  <si>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</si>
  <si>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</si>
  <si>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</si>
  <si>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</si>
  <si>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</si>
  <si>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</si>
  <si>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</si>
  <si>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</si>
  <si>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</si>
  <si>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</si>
  <si>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</si>
  <si>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</si>
  <si>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</si>
  <si>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</si>
  <si>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</si>
  <si>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</si>
  <si>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</si>
  <si>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3/20/2024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</si>
  <si>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</si>
  <si>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</si>
  <si>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</si>
  <si>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</si>
  <si>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</si>
  <si>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</si>
  <si>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</si>
  <si>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</si>
  <si>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</si>
  <si>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</si>
  <si>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</si>
  <si>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</si>
  <si>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</si>
  <si>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</si>
  <si>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12/24/2023</t>
  </si>
  <si>
    <t>S2139</t>
  </si>
  <si>
    <t>Student_1139</t>
  </si>
  <si>
    <t>3/25/2023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</si>
  <si>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</si>
  <si>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</si>
  <si>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</si>
  <si>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</si>
  <si>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</si>
  <si>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</si>
  <si>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</si>
  <si>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</si>
  <si>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2/13/2024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</si>
  <si>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</si>
  <si>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</si>
  <si>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</si>
  <si>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</si>
  <si>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</si>
  <si>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</si>
  <si>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</si>
  <si>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</si>
  <si>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</si>
  <si>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</si>
  <si>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</si>
  <si>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</si>
  <si>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</si>
  <si>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</si>
  <si>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</si>
  <si>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</si>
  <si>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</si>
  <si>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</si>
  <si>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</si>
  <si>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</si>
  <si>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</si>
  <si>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</si>
  <si>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</si>
  <si>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</si>
  <si>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</si>
  <si>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</si>
  <si>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</si>
  <si>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</si>
  <si>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</si>
  <si>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</si>
  <si>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2/21/2024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</si>
  <si>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</si>
  <si>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</si>
  <si>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</si>
  <si>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</si>
  <si>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</si>
  <si>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</si>
  <si>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</si>
  <si>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</si>
  <si>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</si>
  <si>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</si>
  <si>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</si>
  <si>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</si>
  <si>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</si>
  <si>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</si>
  <si>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</si>
  <si>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</si>
  <si>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</si>
  <si>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</si>
  <si>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</si>
  <si>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</si>
  <si>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</si>
  <si>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</si>
  <si>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</si>
  <si>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</si>
  <si>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</si>
  <si>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</si>
  <si>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</si>
  <si>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</si>
  <si>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</si>
  <si>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</si>
  <si>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</si>
  <si>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</si>
  <si>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</si>
  <si>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</si>
  <si>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</si>
  <si>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</si>
  <si>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</si>
  <si>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</si>
  <si>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1/28/2023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</si>
  <si>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</si>
  <si>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</si>
  <si>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</si>
  <si>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</si>
  <si>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</si>
  <si>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</si>
  <si>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</si>
  <si>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</si>
  <si>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</si>
  <si>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</si>
  <si>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</si>
  <si>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</si>
  <si>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8/13/2023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</si>
  <si>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</si>
  <si>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</si>
  <si>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</si>
  <si>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</si>
  <si>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</si>
  <si>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</si>
  <si>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</si>
  <si>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</si>
  <si>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</si>
  <si>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</si>
  <si>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</si>
  <si>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</si>
  <si>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7/26/2023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</si>
  <si>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</si>
  <si>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</si>
  <si>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</si>
  <si>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</si>
  <si>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</si>
  <si>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</si>
  <si>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</si>
  <si>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</si>
  <si>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</si>
  <si>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</si>
  <si>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</si>
  <si>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</si>
  <si>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</si>
  <si>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</si>
  <si>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</si>
  <si>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</si>
  <si>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</si>
  <si>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</si>
  <si>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</si>
  <si>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</si>
  <si>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>q.2</t>
  </si>
  <si>
    <t>q.3</t>
  </si>
  <si>
    <t>q.4</t>
  </si>
  <si>
    <t>q5</t>
  </si>
  <si>
    <t>q.6</t>
  </si>
  <si>
    <t>Q.8</t>
  </si>
  <si>
    <t>Q.9</t>
  </si>
  <si>
    <t>Q.1</t>
  </si>
  <si>
    <t>Q.10</t>
  </si>
  <si>
    <t>Row Labels</t>
  </si>
  <si>
    <t>Grand Total</t>
  </si>
  <si>
    <t>Average of GPA</t>
  </si>
  <si>
    <t>Student_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</si>
  <si>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</si>
  <si>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</si>
  <si>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</si>
  <si>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</si>
  <si>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</si>
  <si>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</si>
  <si>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</si>
  <si>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</si>
  <si>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</si>
  <si>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Q.11</t>
  </si>
  <si>
    <t>Count of Student ID</t>
  </si>
  <si>
    <t>Sum of Scholarship</t>
  </si>
  <si>
    <t>Q.12</t>
  </si>
  <si>
    <t>PIVOT TABLE SHEET 1</t>
  </si>
  <si>
    <t>PIVOT TABLE SHHET 2</t>
  </si>
  <si>
    <t>Q.13</t>
  </si>
  <si>
    <t xml:space="preserve">Enrolled Days </t>
  </si>
  <si>
    <t xml:space="preserve"> Fecalty Heads </t>
  </si>
  <si>
    <t>q.7</t>
  </si>
  <si>
    <t>colur in table</t>
  </si>
  <si>
    <t>Head  name</t>
  </si>
  <si>
    <t>Engineeering</t>
  </si>
  <si>
    <t>Dr. Maheta</t>
  </si>
  <si>
    <t>Dr.Roy</t>
  </si>
  <si>
    <t>Dr.Sharma</t>
  </si>
  <si>
    <t>Dr.Sinha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</si>
</sst>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ont>
        <color rgb="FFC0000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ps" refreshedDate="45945.491268287034" createdVersion="8" refreshedVersion="8" minRefreshableVersion="3" recordCount="1199" xr:uid="{CFDD6DFA-5C20-4E17-B9D0-3C8E6CEAC86C}">
  <cacheSource type="worksheet">
    <worksheetSource ref="A1:J1200" sheet="University"/>
  </cacheSource>
  <cacheFields count="10">
    <cacheField name="Student ID" numFmtId="0">
      <sharedItems/>
    </cacheField>
    <cacheField name="Student Name" numFmtId="0">
      <sharedItems count="1199">
        <s v="Student_0"/>
        <s v="Student_1"/>
        <s v="Student_2"/>
        <s v="Student_3"/>
        <s v="Student_4"/>
        <s v="Student_5"/>
        <s v="Student_6"/>
        <s v="Student_7"/>
        <s v="Student_8"/>
        <s v="Student_9"/>
        <s v="Student_10"/>
        <s v="Student_11"/>
        <s v="Student_12"/>
        <s v="Student_13"/>
        <s v="Student_14"/>
        <s v="Student_15"/>
        <s v="Student_16"/>
        <s v="Student_17"/>
        <s v="Student_18"/>
        <s v="Student_19"/>
        <s v="Student_20"/>
        <s v="Student_21"/>
        <s v="Student_22"/>
        <s v="Student_23"/>
        <s v="Student_24"/>
        <s v="Student_25"/>
        <s v="Student_26"/>
        <s v="Student_27"/>
        <s v="Student_28"/>
        <s v="Student_29"/>
        <s v="Student_30"/>
        <s v="Student_31"/>
        <s v="Student_32"/>
        <s v="Student_33"/>
        <s v="Student_34"/>
        <s v="Student_35"/>
        <s v="Student_36"/>
        <s v="Student_37"/>
        <s v="Student_38"/>
        <s v="Student_39"/>
        <s v="Student_40"/>
        <s v="Student_41"/>
        <s v="Student_42"/>
        <s v="Student_43"/>
        <s v="Student_44"/>
        <s v="Student_45"/>
        <s v="Student_46"/>
        <s v="Student_47"/>
        <s v="Student_48"/>
        <s v="Student_49"/>
        <s v="Student_50"/>
        <s v="Student_51"/>
        <s v="Student_52"/>
        <s v="Student_53"/>
        <s v="Student_54"/>
        <s v="Student_55"/>
        <s v="Student_56"/>
        <s v="Student_57"/>
        <s v="Student_58"/>
        <s v="Student_59"/>
        <s v="Student_60"/>
        <s v="Student_61"/>
        <s v="Student_62"/>
        <s v="Student_63"/>
        <s v="Student_64"/>
        <s v="Student_65"/>
        <s v="Student_66"/>
        <s v="Student_67"/>
        <s v="Student_68"/>
        <s v="Student_69"/>
        <s v="Student_70"/>
        <s v="Student_71"/>
        <s v="Student_72"/>
        <s v="Student_73"/>
        <s v="Student_74"/>
        <s v="Student_75"/>
        <s v="Student_76"/>
        <s v="Student_77"/>
        <s v="Student_78"/>
        <s v="Student_79"/>
        <s v="Student_80"/>
        <s v="Student_81"/>
        <s v="Student_82"/>
        <s v="Student_83"/>
        <s v="Student_84"/>
        <s v="Student_85"/>
        <s v="Student_86"/>
        <s v="Student_87"/>
        <s v="Student_88"/>
        <s v="Student_89"/>
        <s v="Student_90"/>
        <s v="Student_91"/>
        <s v="Student_92"/>
        <s v="Student_93"/>
        <s v="Student_94"/>
        <s v="Student_95"/>
        <s v="Student_96"/>
        <s v="Student_97"/>
        <s v="Student_98"/>
        <s v="Student_99"/>
        <s v="Student_100"/>
        <s v="Student_101"/>
        <s v="Student_102"/>
        <s v="Student_103"/>
        <s v="Student_104"/>
        <s v="Student_105"/>
        <s v="Student_106"/>
        <s v="Student_107"/>
        <s v="Student_108"/>
        <s v="Student_109"/>
        <s v="Student_110"/>
        <s v="Student_111"/>
        <s v="Student_112"/>
        <s v="Student_113"/>
        <s v="Student_114"/>
        <s v="Student_115"/>
        <s v="Student_116"/>
        <s v="Student_117"/>
        <s v="Student_118"/>
        <s v="Student_119"/>
        <s v="Student_120"/>
        <s v="Student_121"/>
        <s v="Student_122"/>
        <s v="Student_123"/>
        <s v="Student_124"/>
        <s v="Student_125"/>
        <s v="Student_126"/>
        <s v="Student_127"/>
        <s v="Student_128"/>
        <s v="Student_129"/>
        <s v="Student_130"/>
        <s v="Student_131"/>
        <s v="Student_132"/>
        <s v="Student_133"/>
        <s v="Student_134"/>
        <s v="Student_135"/>
        <s v="Student_136"/>
        <s v="Student_137"/>
        <s v="Student_138"/>
        <s v="Student_139"/>
        <s v="Student_140"/>
        <s v="Student_141"/>
        <s v="Student_142"/>
        <s v="Student_143"/>
        <s v="Student_144"/>
        <s v="Student_145"/>
        <s v="Student_146"/>
        <s v="Student_147"/>
        <s v="Student_148"/>
        <s v="Student_149"/>
        <s v="Student_150"/>
        <s v="Student_151"/>
        <s v="Student_152"/>
        <s v="Student_153"/>
        <s v="Student_154"/>
        <s v="Student_155"/>
        <s v="Student_156"/>
        <s v="Student_157"/>
        <s v="Student_158"/>
        <s v="Student_159"/>
        <s v="Student_160"/>
        <s v="Student_161"/>
        <s v="Student_162"/>
        <s v="Student_163"/>
        <s v="Student_164"/>
        <s v="Student_165"/>
        <s v="Student_166"/>
        <s v="Student_167"/>
        <s v="Student_168"/>
        <s v="Student_169"/>
        <s v="Student_170"/>
        <s v="Student_171"/>
        <s v="Student_172"/>
        <s v="Student_173"/>
        <s v="Student_174"/>
        <s v="Student_175"/>
        <s v="Student_176"/>
        <s v="Student_177"/>
        <s v="Student_178"/>
        <s v="Student_179"/>
        <s v="Student_180"/>
        <s v="Student_181"/>
        <s v="Student_182"/>
        <s v="Student_183"/>
        <s v="Student_184"/>
        <s v="Student_185"/>
        <s v="Student_186"/>
        <s v="Student_187"/>
        <s v="Student_188"/>
        <s v="Student_189"/>
        <s v="Student_190"/>
        <s v="Student_191"/>
        <s v="Student_192"/>
        <s v="Student_193"/>
        <s v="Student_194"/>
        <s v="Student_195"/>
        <s v="Student_196"/>
        <s v="Student_197"/>
        <s v="Student_198"/>
        <s v="Student_199"/>
        <s v="Student_200"/>
        <s v="Student_201"/>
        <s v="Student_202"/>
        <s v="Student_203"/>
        <s v="Student_204"/>
        <s v="Student_205"/>
        <s v="Student_206"/>
        <s v="Student_207"/>
        <s v="Student_208"/>
        <s v="Student_209"/>
        <s v="Student_210"/>
        <s v="Student_211"/>
        <s v="Student_212"/>
        <s v="Student_213"/>
        <s v="Student_214"/>
        <s v="Student_215"/>
        <s v="Student_216"/>
        <s v="Student_217"/>
        <s v="Student_218"/>
        <s v="Student_219"/>
        <s v="Student_220"/>
        <s v="Student_221"/>
        <s v="Student_222"/>
        <s v="Student_223"/>
        <s v="Student_224"/>
        <s v="Student_225"/>
        <s v="Student_226"/>
        <s v="Student_227"/>
        <s v="Student_228"/>
        <s v="Student_229"/>
        <s v="Student_230"/>
        <s v="Student_231"/>
        <s v="Student_232"/>
        <s v="Student_233"/>
        <s v="Student_234"/>
        <s v="Student_235"/>
        <s v="Student_236"/>
        <s v="Student_237"/>
        <s v="Student_238"/>
        <s v="Student_239"/>
        <s v="Student_240"/>
        <s v="Student_241"/>
        <s v="Student_242"/>
        <s v="Student_243"/>
        <s v="Student_244"/>
        <s v="Student_245"/>
        <s v="Student_246"/>
        <s v="Student_247"/>
        <s v="Student_248"/>
        <s v="Student_249"/>
        <s v="Student_250"/>
        <s v="Student_251"/>
        <s v="Student_252"/>
        <s v="Student_253"/>
        <s v="Student_254"/>
        <s v="Student_255"/>
        <s v="Student_256"/>
        <s v="Student_257"/>
        <s v="Student_258"/>
        <s v="Student_259"/>
        <s v="Student_260"/>
        <s v="Student_261"/>
        <s v="Student_262"/>
        <s v="Student_263"/>
        <s v="Student_264"/>
        <s v="Student_265"/>
        <s v="Student_266"/>
        <s v="Student_267"/>
        <s v="Student_268"/>
        <s v="Student_269"/>
        <s v="Student_270"/>
        <s v="Student_271"/>
        <s v="Student_272"/>
        <s v="Student_273"/>
        <s v="Student_274"/>
        <s v="Student_275"/>
        <s v="Student_276"/>
        <s v="Student_277"/>
        <s v="Student_278"/>
        <s v="Student_279"/>
        <s v="Student_280"/>
        <s v="Student_281"/>
        <s v="Student_282"/>
        <s v="Student_283"/>
        <s v="Student_284"/>
        <s v="Student_285"/>
        <s v="Student_286"/>
        <s v="Student_287"/>
        <s v="Student_288"/>
        <s v="Student_289"/>
        <s v="Student_290"/>
        <s v="Student_291"/>
        <s v="Student_292"/>
        <s v="Student_293"/>
        <s v="Student_294"/>
        <s v="Student_295"/>
        <s v="Student_296"/>
        <s v="Student_297"/>
        <s v="Student_298"/>
        <s v="Student_299"/>
        <s v="Student_300"/>
        <s v="Student_301"/>
        <s v="Student_302"/>
        <s v="Student_303"/>
        <s v="Student_304"/>
        <s v="Student_305"/>
        <s v="Student_306"/>
        <s v="Student_307"/>
        <s v="Student_308"/>
        <s v="Student_309"/>
        <s v="Student_310"/>
        <s v="Student_311"/>
        <s v="Student_312"/>
        <s v="Student_313"/>
        <s v="Student_314"/>
        <s v="Student_315"/>
        <s v="Student_316"/>
        <s v="Student_317"/>
        <s v="Student_318"/>
        <s v="Student_319"/>
        <s v="Student_320"/>
        <s v="Student_321"/>
        <s v="Student_322"/>
        <s v="Student_323"/>
        <s v="Student_324"/>
        <s v="Student_325"/>
        <s v="Student_326"/>
        <s v="Student_327"/>
        <s v="Student_328"/>
        <s v="Student_329"/>
        <s v="Student_330"/>
        <s v="Student_331"/>
        <s v="Student_332"/>
        <s v="Student_333"/>
        <s v="Student_334"/>
        <s v="Student_335"/>
        <s v="Student_336"/>
        <s v="Student_337"/>
        <s v="Student_338"/>
        <s v="Student_339"/>
        <s v="Student_340"/>
        <s v="Student_341"/>
        <s v="Student_342"/>
        <s v="Student_343"/>
        <s v="Student_344"/>
        <s v="Student_345"/>
        <s v="Student_346"/>
        <s v="Student_347"/>
        <s v="Student_348"/>
        <s v="Student_349"/>
        <s v="Student_350"/>
        <s v="Student_351"/>
        <s v="Student_352"/>
        <s v="Student_353"/>
        <s v="Student_354"/>
        <s v="Student_355"/>
        <s v="Student_356"/>
        <s v="Student_357"/>
        <s v="Student_358"/>
        <s v="Student_359"/>
        <s v="Student_360"/>
        <s v="Student_361"/>
        <s v="Student_362"/>
        <s v="Student_363"/>
        <s v="Student_364"/>
        <s v="Student_365"/>
        <s v="Student_366"/>
        <s v="Student_367"/>
        <s v="Student_368"/>
        <s v="Student_369"/>
        <s v="Student_370"/>
        <s v="Student_371"/>
        <s v="Student_372"/>
        <s v="Student_373"/>
        <s v="Student_374"/>
        <s v="Student_375"/>
        <s v="Student_376"/>
        <s v="Student_377"/>
        <s v="Student_378"/>
        <s v="Student_379"/>
        <s v="Student_380"/>
        <s v="Student_381"/>
        <s v="Student_382"/>
        <s v="Student_383"/>
        <s v="Student_384"/>
        <s v="Student_385"/>
        <s v="Student_386"/>
        <s v="Student_387"/>
        <s v="Student_388"/>
        <s v="Student_389"/>
        <s v="Student_390"/>
        <s v="Student_391"/>
        <s v="Student_392"/>
        <s v="Student_393"/>
        <s v="Student_394"/>
        <s v="Student_395"/>
        <s v="Student_396"/>
        <s v="Student_397"/>
        <s v="Student_398"/>
        <s v="Student_399"/>
        <s v="Student_400"/>
        <s v="Student_401"/>
        <s v="Student_402"/>
        <s v="Student_403"/>
        <s v="Student_404"/>
        <s v="Student_405"/>
        <s v="Student_406"/>
        <s v="Student_407"/>
        <s v="Student_408"/>
        <s v="Student_409"/>
        <s v="Student_410"/>
        <s v="Student_411"/>
        <s v="Student_412"/>
        <s v="Student_413"/>
        <s v="Student_414"/>
        <s v="Student_415"/>
        <s v="Student_416"/>
        <s v="Student_417"/>
        <s v="Student_418"/>
        <s v="Student_419"/>
        <s v="Student_420"/>
        <s v="Student_421"/>
        <s v="Student_422"/>
        <s v="Student_423"/>
        <s v="Student_424"/>
        <s v="Student_425"/>
        <s v="Student_426"/>
        <s v="Student_427"/>
        <s v="Student_428"/>
        <s v="Student_429"/>
        <s v="Student_430"/>
        <s v="Student_431"/>
        <s v="Student_432"/>
        <s v="Student_433"/>
        <s v="Student_434"/>
        <s v="Student_435"/>
        <s v="Student_436"/>
        <s v="Student_437"/>
        <s v="Student_438"/>
        <s v="Student_439"/>
        <s v="Student_440"/>
        <s v="Student_441"/>
        <s v="Student_442"/>
        <s v="Student_443"/>
        <s v="Student_444"/>
        <s v="Student_445"/>
        <s v="Student_446"/>
        <s v="Student_447"/>
        <s v="Student_448"/>
        <s v="Student_449"/>
        <s v="Student_450"/>
        <s v="Student_451"/>
        <s v="Student_452"/>
        <s v="Student_453"/>
        <s v="Student_454"/>
        <s v="Student_455"/>
        <s v="Student_456"/>
        <s v="Student_457"/>
        <s v="Student_458"/>
        <s v="Student_459"/>
        <s v="Student_460"/>
        <s v="Student_461"/>
        <s v="Student_462"/>
        <s v="Student_463"/>
        <s v="Student_464"/>
        <s v="Student_465"/>
        <s v="Student_466"/>
        <s v="Student_467"/>
        <s v="Student_468"/>
        <s v="Student_469"/>
        <s v="Student_470"/>
        <s v="Student_471"/>
        <s v="Student_472"/>
        <s v="Student_473"/>
        <s v="Student_474"/>
        <s v="Student_475"/>
        <s v="Student_476"/>
        <s v="Student_477"/>
        <s v="Student_478"/>
        <s v="Student_479"/>
        <s v="Student_480"/>
        <s v="Student_481"/>
        <s v="Student_482"/>
        <s v="Student_483"/>
        <s v="Student_484"/>
        <s v="Student_485"/>
        <s v="Student_486"/>
        <s v="Student_487"/>
        <s v="Student_488"/>
        <s v="Student_489"/>
        <s v="Student_490"/>
        <s v="Student_491"/>
        <s v="Student_492"/>
        <s v="Student_493"/>
        <s v="Student_494"/>
        <s v="Student_495"/>
        <s v="Student_496"/>
        <s v="Student_497"/>
        <s v="Student_498"/>
        <s v="Student_499"/>
        <s v="Student_500"/>
        <s v="Student_501"/>
        <s v="Student_502"/>
        <s v="Student_503"/>
        <s v="Student_504"/>
        <s v="Student_505"/>
        <s v="Student_506"/>
        <s v="Student_507"/>
        <s v="Student_508"/>
        <s v="Student_509"/>
        <s v="Student_510"/>
        <s v="Student_511"/>
        <s v="Student_512"/>
        <s v="Student_513"/>
        <s v="Student_514"/>
        <s v="Student_515"/>
        <s v="Student_516"/>
        <s v="Student_517"/>
        <s v="Student_518"/>
        <s v="Student_519"/>
        <s v="Student_520"/>
        <s v="Student_521"/>
        <s v="Student_522"/>
        <s v="Student_523"/>
        <s v="Student_524"/>
        <s v="Student_525"/>
        <s v="Student_526"/>
        <s v="Student_527"/>
        <s v="Student_528"/>
        <s v="Student_529"/>
        <s v="Student_530"/>
        <s v="Student_531"/>
        <s v="Student_532"/>
        <s v="Student_533"/>
        <s v="Student_534"/>
        <s v="Student_535"/>
        <s v="Student_536"/>
        <s v="Student_537"/>
        <s v="Student_538"/>
        <s v="Student_539"/>
        <s v="Student_540"/>
        <s v="Student_541"/>
        <s v="Student_542"/>
        <s v="Student_543"/>
        <s v="Student_544"/>
        <s v="Student_545"/>
        <s v="Student_546"/>
        <s v="Student_547"/>
        <s v="Student_548"/>
        <s v="Student_549"/>
        <s v="Student_550"/>
        <s v="Student_551"/>
        <s v="Student_552"/>
        <s v="Student_553"/>
        <s v="Student_554"/>
        <s v="Student_555"/>
        <s v="Student_556"/>
        <s v="Student_557"/>
        <s v="Student_558"/>
        <s v="Student_559"/>
        <s v="Student_560"/>
        <s v="Student_561"/>
        <s v="Student_562"/>
        <s v="Student_563"/>
        <s v="Student_564"/>
        <s v="Student_565"/>
        <s v="Student_566"/>
        <s v="Student_567"/>
        <s v="Student_568"/>
        <s v="Student_569"/>
        <s v="Student_570"/>
        <s v="Student_571"/>
        <s v="Student_572"/>
        <s v="Student_573"/>
        <s v="Student_574"/>
        <s v="Student_575"/>
        <s v="Student_576"/>
        <s v="Student_577"/>
        <s v="Student_578"/>
        <s v="Student_579"/>
        <s v="Student_580"/>
        <s v="Student_581"/>
        <s v="Student_582"/>
        <s v="Student_583"/>
        <s v="Student_584"/>
        <s v="Student_585"/>
        <s v="Student_586"/>
        <s v="Student_587"/>
        <s v="Student_588"/>
        <s v="Student_589"/>
        <s v="Student_590"/>
        <s v="Student_591"/>
        <s v="Student_592"/>
        <s v="Student_593"/>
        <s v="Student_594"/>
        <s v="Student_595"/>
        <s v="Student_596"/>
        <s v="Student_597"/>
        <s v="Student_598"/>
        <s v="Student_599"/>
        <s v="Student_600"/>
        <s v="Student_601"/>
        <s v="Student_602"/>
        <s v="Student_603"/>
        <s v="Student_604"/>
        <s v="Student_605"/>
        <s v="Student_606"/>
        <s v="Student_607"/>
        <s v="Student_608"/>
        <s v="Student_609"/>
        <s v="Student_610"/>
        <s v="Student_611"/>
        <s v="Student_612"/>
        <s v="Student_613"/>
        <s v="Student_614"/>
        <s v="Student_615"/>
        <s v="Student_616"/>
        <s v="Student_617"/>
        <s v="Student_618"/>
        <s v="Student_619"/>
        <s v="Student_620"/>
        <s v="Student_621"/>
        <s v="Student_622"/>
        <s v="Student_623"/>
        <s v="Student_624"/>
        <s v="Student_625"/>
        <s v="Student_626"/>
        <s v="Student_627"/>
        <s v="Student_628"/>
        <s v="Student_629"/>
        <s v="Student_630"/>
        <s v="Student_631"/>
        <s v="Student_632"/>
        <s v="Student_633"/>
        <s v="Student_634"/>
        <s v="Student_635"/>
        <s v="Student_636"/>
        <s v="Student_637"/>
        <s v="Student_638"/>
        <s v="Student_639"/>
        <s v="Student_640"/>
        <s v="Student_641"/>
        <s v="Student_642"/>
        <s v="Student_643"/>
        <s v="Student_644"/>
        <s v="Student_645"/>
        <s v="Student_646"/>
        <s v="Student_647"/>
        <s v="Student_648"/>
        <s v="Student_649"/>
        <s v="Student_650"/>
        <s v="Student_651"/>
        <s v="Student_652"/>
        <s v="Student_653"/>
        <s v="Student_654"/>
        <s v="Student_655"/>
        <s v="Student_656"/>
        <s v="Student_657"/>
        <s v="Student_658"/>
        <s v="Student_659"/>
        <s v="Student_660"/>
        <s v="Student_661"/>
        <s v="Student_662"/>
        <s v="Student_663"/>
        <s v="Student_664"/>
        <s v="Student_665"/>
        <s v="Student_666"/>
        <s v="Student_667"/>
        <s v="Student_668"/>
        <s v="Student_669"/>
        <s v="Student_670"/>
        <s v="Student_671"/>
        <s v="Student_672"/>
        <s v="Student_673"/>
        <s v="Student_674"/>
        <s v="Student_675"/>
        <s v="Student_676"/>
        <s v="Student_677"/>
        <s v="Student_678"/>
        <s v="Student_679"/>
        <s v="Student_680"/>
        <s v="Student_681"/>
        <s v="Student_682"/>
        <s v="Student_683"/>
        <s v="Student_684"/>
        <s v="Student_685"/>
        <s v="Student_686"/>
        <s v="Student_687"/>
        <s v="Student_688"/>
        <s v="Student_689"/>
        <s v="Student_690"/>
        <s v="Student_691"/>
        <s v="Student_692"/>
        <s v="Student_693"/>
        <s v="Student_694"/>
        <s v="Student_695"/>
        <s v="Student_696"/>
        <s v="Student_697"/>
        <s v="Student_698"/>
        <s v="Student_699"/>
        <s v="Student_700"/>
        <s v="Student_701"/>
        <s v="Student_702"/>
        <s v="Student_703"/>
        <s v="Student_704"/>
        <s v="Student_705"/>
        <s v="Student_706"/>
        <s v="Student_707"/>
        <s v="Student_708"/>
        <s v="Student_709"/>
        <s v="Student_710"/>
        <s v="Student_711"/>
        <s v="Student_712"/>
        <s v="Student_713"/>
        <s v="Student_714"/>
        <s v="Student_715"/>
        <s v="Student_716"/>
        <s v="Student_717"/>
        <s v="Student_718"/>
        <s v="Student_719"/>
        <s v="Student_720"/>
        <s v="Student_721"/>
        <s v="Student_722"/>
        <s v="Student_723"/>
        <s v="Student_724"/>
        <s v="Student_725"/>
        <s v="Student_726"/>
        <s v="Student_727"/>
        <s v="Student_728"/>
        <s v="Student_729"/>
        <s v="Student_730"/>
        <s v="Student_731"/>
        <s v="Student_732"/>
        <s v="Student_733"/>
        <s v="Student_734"/>
        <s v="Student_735"/>
        <s v="Student_736"/>
        <s v="Student_737"/>
        <s v="Student_738"/>
        <s v="Student_739"/>
        <s v="Student_740"/>
        <s v="Student_741"/>
        <s v="Student_742"/>
        <s v="Student_743"/>
        <s v="Student_744"/>
        <s v="Student_745"/>
        <s v="Student_746"/>
        <s v="Student_747"/>
        <s v="Student_748"/>
        <s v="Student_749"/>
        <s v="Student_750"/>
        <s v="Student_751"/>
        <s v="Student_752"/>
        <s v="Student_753"/>
        <s v="Student_754"/>
        <s v="Student_755"/>
        <s v="Student_756"/>
        <s v="Student_757"/>
        <s v="Student_758"/>
        <s v="Student_759"/>
        <s v="Student_760"/>
        <s v="Student_761"/>
        <s v="Student_762"/>
        <s v="Student_763"/>
        <s v="Student_764"/>
        <s v="Student_765"/>
        <s v="Student_766"/>
        <s v="Student_767"/>
        <s v="Student_768"/>
        <s v="Student_769"/>
        <s v="Student_770"/>
        <s v="Student_771"/>
        <s v="Student_772"/>
        <s v="Student_773"/>
        <s v="Student_774"/>
        <s v="Student_775"/>
        <s v="Student_776"/>
        <s v="Student_777"/>
        <s v="Student_778"/>
        <s v="Student_779"/>
        <s v="Student_780"/>
        <s v="Student_781"/>
        <s v="Student_782"/>
        <s v="Student_783"/>
        <s v="Student_784"/>
        <s v="Student_785"/>
        <s v="Student_786"/>
        <s v="Student_787"/>
        <s v="Student_788"/>
        <s v="Student_789"/>
        <s v="Student_790"/>
        <s v="Student_791"/>
        <s v="Student_792"/>
        <s v="Student_793"/>
        <s v="Student_794"/>
        <s v="Student_795"/>
        <s v="Student_796"/>
        <s v="Student_797"/>
        <s v="Student_798"/>
        <s v="Student_799"/>
        <s v="Student_800"/>
        <s v="Student_801"/>
        <s v="Student_802"/>
        <s v="Student_803"/>
        <s v="Student_804"/>
        <s v="Student_805"/>
        <s v="Student_806"/>
        <s v="Student_807"/>
        <s v="Student_808"/>
        <s v="Student_809"/>
        <s v="Student_810"/>
        <s v="Student_811"/>
        <s v="Student_812"/>
        <s v="Student_813"/>
        <s v="Student_814"/>
        <s v="Student_815"/>
        <s v="Student_816"/>
        <s v="Student_817"/>
        <s v="Student_818"/>
        <s v="Student_819"/>
        <s v="Student_820"/>
        <s v="Student_821"/>
        <s v="Student_822"/>
        <s v="Student_823"/>
        <s v="Student_824"/>
        <s v="Student_825"/>
        <s v="Student_826"/>
        <s v="Student_827"/>
        <s v="Student_828"/>
        <s v="Student_829"/>
        <s v="Student_830"/>
        <s v="Student_831"/>
        <s v="Student_832"/>
        <s v="Student_833"/>
        <s v="Student_834"/>
        <s v="Student_835"/>
        <s v="Student_836"/>
        <s v="Student_837"/>
        <s v="Student_838"/>
        <s v="Student_839"/>
        <s v="Student_840"/>
        <s v="Student_841"/>
        <s v="Student_842"/>
        <s v="Student_843"/>
        <s v="Student_844"/>
        <s v="Student_845"/>
        <s v="Student_846"/>
        <s v="Student_847"/>
        <s v="Student_848"/>
        <s v="Student_849"/>
        <s v="Student_850"/>
        <s v="Student_851"/>
        <s v="Student_852"/>
        <s v="Student_853"/>
        <s v="Student_854"/>
        <s v="Student_855"/>
        <s v="Student_856"/>
        <s v="Student_857"/>
        <s v="Student_858"/>
        <s v="Student_859"/>
        <s v="Student_860"/>
        <s v="Student_861"/>
        <s v="Student_862"/>
        <s v="Student_863"/>
        <s v="Student_864"/>
        <s v="Student_865"/>
        <s v="Student_866"/>
        <s v="Student_867"/>
        <s v="Student_868"/>
        <s v="Student_869"/>
        <s v="Student_870"/>
        <s v="Student_871"/>
        <s v="Student_872"/>
        <s v="Student_873"/>
        <s v="Student_874"/>
        <s v="Student_875"/>
        <s v="Student_876"/>
        <s v="Student_877"/>
        <s v="Student_878"/>
        <s v="Student_879"/>
        <s v="Student_880"/>
        <s v="Student_881"/>
        <s v="Student_882"/>
        <s v="Student_883"/>
        <s v="Student_884"/>
        <s v="Student_885"/>
        <s v="Student_886"/>
        <s v="Student_887"/>
        <s v="Student_888"/>
        <s v="Student_889"/>
        <s v="Student_890"/>
        <s v="Student_891"/>
        <s v="Student_892"/>
        <s v="Student_893"/>
        <s v="Student_894"/>
        <s v="Student_895"/>
        <s v="Student_896"/>
        <s v="Student_897"/>
        <s v="Student_898"/>
        <s v="Student_899"/>
        <s v="Student_900"/>
        <s v="Student_901"/>
        <s v="Student_902"/>
        <s v="Student_903"/>
        <s v="Student_904"/>
        <s v="Student_905"/>
        <s v="Student_906"/>
        <s v="Student_907"/>
        <s v="Student_908"/>
        <s v="Student_909"/>
        <s v="Student_910"/>
        <s v="Student_911"/>
        <s v="Student_912"/>
        <s v="Student_913"/>
        <s v="Student_914"/>
        <s v="Student_915"/>
        <s v="Student_916"/>
        <s v="Student_917"/>
        <s v="Student_918"/>
        <s v="Student_919"/>
        <s v="Student_920"/>
        <s v="Student_921"/>
        <s v="Student_922"/>
        <s v="Student_923"/>
        <s v="Student_924"/>
        <s v="Student_925"/>
        <s v="Student_926"/>
        <s v="Student_927"/>
        <s v="Student_928"/>
        <s v="Student_929"/>
        <s v="Student_930"/>
        <s v="Student_931"/>
        <s v="Student_932"/>
        <s v="Student_933"/>
        <s v="Student_934"/>
        <s v="Student_935"/>
        <s v="Student_936"/>
        <s v="Student_937"/>
        <s v="Student_938"/>
        <s v="Student_939"/>
        <s v="Student_940"/>
        <s v="Student_941"/>
        <s v="Student_942"/>
        <s v="Student_943"/>
        <s v="Student_944"/>
        <s v="Student_945"/>
        <s v="Student_946"/>
        <s v="Student_947"/>
        <s v="Student_948"/>
        <s v="Student_949"/>
        <s v="Student_950"/>
        <s v="Student_951"/>
        <s v="Student_952"/>
        <s v="Student_953"/>
        <s v="Student_954"/>
        <s v="Student_955"/>
        <s v="Student_956"/>
        <s v="Student_957"/>
        <s v="Student_958"/>
        <s v="Student_959"/>
        <s v="Student_960"/>
        <s v="Student_961"/>
        <s v="Student_962"/>
        <s v="Student_963"/>
        <s v="Student_964"/>
        <s v="Student_965"/>
        <s v="Student_966"/>
        <s v="Student_967"/>
        <s v="Student_968"/>
        <s v="Student_969"/>
        <s v="Student_970"/>
        <s v="Student_971"/>
        <s v="Student_972"/>
        <s v="Student_973"/>
        <s v="Student_974"/>
        <s v="Student_975"/>
        <s v="Student_976"/>
        <s v="Student_977"/>
        <s v="Student_978"/>
        <s v="Student_979"/>
        <s v="Student_980"/>
        <s v="Student_981"/>
        <s v="Student_982"/>
        <s v="Student_983"/>
        <s v="Student_984"/>
        <s v="Student_985"/>
        <s v="Student_986"/>
        <s v="Student_987"/>
        <s v="Student_988"/>
        <s v="Student_989"/>
        <s v="Student_990"/>
        <s v="Student_991"/>
        <s v="Student_992"/>
        <s v="Student_993"/>
        <s v="Student_994"/>
        <s v="Student_995"/>
        <s v="Student_996"/>
        <s v="Student_997"/>
        <s v="Student_998"/>
        <s v="Student_999"/>
        <s v="Student_1000"/>
        <s v="Student_1001"/>
        <s v="Student_1002"/>
        <s v="Student_1003"/>
        <s v="Student_1004"/>
        <s v="Student_1005"/>
        <s v="Student_1006"/>
        <s v="Student_1007"/>
        <s v="Student_1008"/>
        <s v="Student_1009"/>
        <s v="Student_1010"/>
        <s v="Student_1011"/>
        <s v="Student_1012"/>
        <s v="Student_1013"/>
        <s v="Student_1014"/>
        <s v="Student_1015"/>
        <s v="Student_1016"/>
        <s v="Student_1017"/>
        <s v="Student_1018"/>
        <s v="Student_1019"/>
        <s v="Student_1020"/>
        <s v="Student_1021"/>
        <s v="Student_1022"/>
        <s v="Student_1023"/>
        <s v="Student_1024"/>
        <s v="Student_1025"/>
        <s v="Student_1026"/>
        <s v="Student_1027"/>
        <s v="Student_1028"/>
        <s v="Student_1029"/>
        <s v="Student_1030"/>
        <s v="Student_1031"/>
        <s v="Student_1032"/>
        <s v="Student_1033"/>
        <s v="Student_1034"/>
        <s v="Student_1035"/>
        <s v="Student_1036"/>
        <s v="Student_1037"/>
        <s v="Student_1038"/>
        <s v="Student_1039"/>
        <s v="Student_1040"/>
        <s v="Student_1041"/>
        <s v="Student_1042"/>
        <s v="Student_1043"/>
        <s v="Student_1044"/>
        <s v="Student_1045"/>
        <s v="Student_1046"/>
        <s v="Student_1047"/>
        <s v="Student_1048"/>
        <s v="Student_1049"/>
        <s v="Student_1050"/>
        <s v="Student_1051"/>
        <s v="Student_1052"/>
        <s v="Student_1053"/>
        <s v="Student_1054"/>
        <s v="Student_1055"/>
        <s v="Student_1056"/>
        <s v="Student_1057"/>
        <s v="Student_1058"/>
        <s v="Student_1059"/>
        <s v="Student_1060"/>
        <s v="Student_1061"/>
        <s v="Student_1062"/>
        <s v="Student_1063"/>
        <s v="Student_1064"/>
        <s v="Student_1065"/>
        <s v="Student_1066"/>
        <s v="Student_1067"/>
        <s v="Student_1068"/>
        <s v="Student_1069"/>
        <s v="Student_1070"/>
        <s v="Student_1071"/>
        <s v="Student_1072"/>
        <s v="Student_1073"/>
        <s v="Student_1074"/>
        <s v="Student_1075"/>
        <s v="Student_1076"/>
        <s v="Student_1077"/>
        <s v="Student_1078"/>
        <s v="Student_1079"/>
        <s v="Student_1080"/>
        <s v="Student_1081"/>
        <s v="Student_1082"/>
        <s v="Student_1083"/>
        <s v="Student_1084"/>
        <s v="Student_1085"/>
        <s v="Student_1086"/>
        <s v="Student_1087"/>
        <s v="Student_1088"/>
        <s v="Student_1089"/>
        <s v="Student_1090"/>
        <s v="Student_1091"/>
        <s v="Student_1092"/>
        <s v="Student_1093"/>
        <s v="Student_1094"/>
        <s v="Student_1095"/>
        <s v="Student_1096"/>
        <s v="Student_1097"/>
        <s v="Student_1098"/>
        <s v="Student_1099"/>
        <s v="Student_1100"/>
        <s v="Student_1101"/>
        <s v="Student_1102"/>
        <s v="Student_1103"/>
        <s v="Student_1104"/>
        <s v="Student_1105"/>
        <s v="Student_1106"/>
        <s v="Student_1107"/>
        <s v="Student_1108"/>
        <s v="Student_1109"/>
        <s v="Student_1110"/>
        <s v="Student_1111"/>
        <s v="Student_1112"/>
        <s v="Student_1113"/>
        <s v="Student_1114"/>
        <s v="Student_1115"/>
        <s v="Student_1116"/>
        <s v="Student_1117"/>
        <s v="Student_1118"/>
        <s v="Student_1119"/>
        <s v="Student_1120"/>
        <s v="Student_1121"/>
        <s v="Student_1122"/>
        <s v="Student_1123"/>
        <s v="Student_1124"/>
        <s v="Student_1125"/>
        <s v="Student_1126"/>
        <s v="Student_1127"/>
        <s v="Student_1128"/>
        <s v="Student_1129"/>
        <s v="Student_1130"/>
        <s v="Student_1131"/>
        <s v="Student_1132"/>
        <s v="Student_1133"/>
        <s v="Student_1134"/>
        <s v="Student_1135"/>
        <s v="Student_1136"/>
        <s v="Student_1137"/>
        <s v="Student_1138"/>
        <s v="Student_1139"/>
        <s v="Student_1140"/>
        <s v="Student_1141"/>
        <s v="Student_1142"/>
        <s v="Student_1143"/>
        <s v="Student_1144"/>
        <s v="Student_1145"/>
        <s v="Student_1146"/>
        <s v="Student_1147"/>
        <s v="Student_1148"/>
        <s v="Student_1149"/>
        <s v="Student_1150"/>
        <s v="Student_1151"/>
        <s v="Student_1152"/>
        <s v="Student_1153"/>
        <s v="Student_1154"/>
        <s v="Student_1155"/>
        <s v="Student_1156"/>
        <s v="Student_1157"/>
        <s v="Student_1158"/>
        <s v="Student_1159"/>
        <s v="Student_1160"/>
        <s v="Student_1161"/>
        <s v="Student_1162"/>
        <s v="Student_1163"/>
        <s v="Student_1164"/>
        <s v="Student_1165"/>
        <s v="Student_1166"/>
        <s v="Student_1167"/>
        <s v="Student_1168"/>
        <s v="Student_1169"/>
        <s v="Student_1170"/>
        <s v="Student_1171"/>
        <s v="Student_1172"/>
        <s v="Student_1173"/>
        <s v="Student_1174"/>
        <s v="Student_1175"/>
        <s v="Student_1176"/>
        <s v="Student_1177"/>
        <s v="Student_1178"/>
        <s v="Student_1179"/>
        <s v="Student_1180"/>
        <s v="Student_1181"/>
        <s v="Student_1182"/>
        <s v="Student_1183"/>
        <s v="Student_1184"/>
        <s v="Student_1185"/>
        <s v="Student_1186"/>
        <s v="Student_1187"/>
        <s v="Student_1188"/>
        <s v="Student_1189"/>
        <s v="Student_1190"/>
        <s v="Student_1191"/>
        <s v="Student_1192"/>
        <s v="Student_1193"/>
        <s v="Student_1194"/>
        <s v="Student_1195"/>
        <s v="Student_1196"/>
        <s v="Student_1197"/>
        <s v="Student_1198"/>
      </sharedItems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0">
      <sharedItems containsDate="1" containsMixedTypes="1" minDate="2022-01-01T00:00:00" maxDate="2024-12-07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">
  <r>
    <s v="S1000"/>
    <x v="0"/>
    <x v="0"/>
    <x v="0"/>
    <s v="3/28/2023"/>
    <x v="0"/>
    <n v="14714"/>
    <n v="1099"/>
    <n v="2.39"/>
    <n v="89"/>
  </r>
  <r>
    <s v="S1001"/>
    <x v="1"/>
    <x v="1"/>
    <x v="1"/>
    <s v="10/21/2022"/>
    <x v="1"/>
    <n v="5718"/>
    <n v="4700"/>
    <n v="3.49"/>
    <n v="79"/>
  </r>
  <r>
    <s v="S1002"/>
    <x v="2"/>
    <x v="2"/>
    <x v="0"/>
    <d v="2023-11-09T00:00:00"/>
    <x v="0"/>
    <n v="5726"/>
    <n v="3408"/>
    <n v="3.08"/>
    <n v="84"/>
  </r>
  <r>
    <s v="S1003"/>
    <x v="3"/>
    <x v="3"/>
    <x v="1"/>
    <s v="11/23/2023"/>
    <x v="1"/>
    <n v="10846"/>
    <n v="3245"/>
    <n v="3.59"/>
    <n v="9"/>
  </r>
  <r>
    <s v="S1004"/>
    <x v="4"/>
    <x v="4"/>
    <x v="1"/>
    <s v="4/18/2024"/>
    <x v="0"/>
    <n v="11437"/>
    <n v="4259"/>
    <n v="3.31"/>
    <n v="72"/>
  </r>
  <r>
    <s v="S1005"/>
    <x v="5"/>
    <x v="1"/>
    <x v="2"/>
    <s v="6/25/2022"/>
    <x v="1"/>
    <n v="13342"/>
    <n v="2831"/>
    <n v="3.39"/>
    <n v="107"/>
  </r>
  <r>
    <s v="S1006"/>
    <x v="6"/>
    <x v="3"/>
    <x v="0"/>
    <s v="2/19/2023"/>
    <x v="0"/>
    <n v="3831"/>
    <n v="3078"/>
    <n v="2.4500000000000002"/>
    <n v="70"/>
  </r>
  <r>
    <s v="S1007"/>
    <x v="7"/>
    <x v="5"/>
    <x v="0"/>
    <d v="2022-02-06T00:00:00"/>
    <x v="0"/>
    <n v="8155"/>
    <n v="6039"/>
    <n v="3.41"/>
    <n v="118"/>
  </r>
  <r>
    <s v="S1008"/>
    <x v="8"/>
    <x v="4"/>
    <x v="2"/>
    <s v="1/13/2023"/>
    <x v="2"/>
    <n v="4061"/>
    <n v="2208"/>
    <n v="3.2"/>
    <n v="100"/>
  </r>
  <r>
    <s v="S1009"/>
    <x v="9"/>
    <x v="1"/>
    <x v="0"/>
    <s v="11/16/2022"/>
    <x v="1"/>
    <n v="5718"/>
    <n v="2737"/>
    <n v="2.02"/>
    <n v="38"/>
  </r>
  <r>
    <s v="S1010"/>
    <x v="10"/>
    <x v="2"/>
    <x v="2"/>
    <s v="3/24/2023"/>
    <x v="0"/>
    <n v="9724"/>
    <n v="2303"/>
    <n v="2.61"/>
    <n v="52"/>
  </r>
  <r>
    <s v="S1011"/>
    <x v="11"/>
    <x v="4"/>
    <x v="2"/>
    <d v="2022-04-03T00:00:00"/>
    <x v="0"/>
    <n v="6176"/>
    <n v="5301"/>
    <n v="3.16"/>
    <n v="37"/>
  </r>
  <r>
    <s v="S1012"/>
    <x v="12"/>
    <x v="1"/>
    <x v="1"/>
    <s v="10/20/2023"/>
    <x v="1"/>
    <n v="11085"/>
    <n v="1939"/>
    <n v="3.02"/>
    <n v="107"/>
  </r>
  <r>
    <s v="S1013"/>
    <x v="13"/>
    <x v="5"/>
    <x v="1"/>
    <d v="2022-02-11T00:00:00"/>
    <x v="1"/>
    <n v="8006"/>
    <n v="7602"/>
    <n v="3.38"/>
    <n v="84"/>
  </r>
  <r>
    <s v="S1014"/>
    <x v="14"/>
    <x v="5"/>
    <x v="1"/>
    <s v="9/27/2023"/>
    <x v="0"/>
    <n v="14699"/>
    <n v="4188"/>
    <n v="3.4"/>
    <n v="25"/>
  </r>
  <r>
    <s v="S1015"/>
    <x v="15"/>
    <x v="6"/>
    <x v="2"/>
    <d v="2022-04-05T00:00:00"/>
    <x v="1"/>
    <n v="10985"/>
    <n v="1391"/>
    <n v="3.47"/>
    <n v="18"/>
  </r>
  <r>
    <s v="S1016"/>
    <x v="16"/>
    <x v="7"/>
    <x v="0"/>
    <s v="7/22/2023"/>
    <x v="0"/>
    <n v="6946"/>
    <n v="8514"/>
    <n v="2.08"/>
    <n v="73"/>
  </r>
  <r>
    <s v="S1017"/>
    <x v="17"/>
    <x v="2"/>
    <x v="1"/>
    <s v="10/23/2023"/>
    <x v="0"/>
    <n v="5088"/>
    <n v="1973"/>
    <n v="3.56"/>
    <n v="52"/>
  </r>
  <r>
    <s v="S1018"/>
    <x v="18"/>
    <x v="4"/>
    <x v="3"/>
    <d v="2023-04-02T00:00:00"/>
    <x v="0"/>
    <n v="3188"/>
    <n v="9735"/>
    <n v="3.54"/>
    <n v="67"/>
  </r>
  <r>
    <s v="S1019"/>
    <x v="19"/>
    <x v="6"/>
    <x v="2"/>
    <s v="7/30/2022"/>
    <x v="1"/>
    <n v="6258"/>
    <n v="9965"/>
    <n v="2.48"/>
    <n v="100"/>
  </r>
  <r>
    <s v="S1020"/>
    <x v="20"/>
    <x v="3"/>
    <x v="1"/>
    <s v="8/28/2023"/>
    <x v="0"/>
    <n v="12607"/>
    <n v="4963"/>
    <n v="2.86"/>
    <n v="25"/>
  </r>
  <r>
    <s v="S1021"/>
    <x v="21"/>
    <x v="3"/>
    <x v="2"/>
    <s v="3/19/2023"/>
    <x v="0"/>
    <n v="9303"/>
    <n v="9181"/>
    <n v="2.12"/>
    <n v="119"/>
  </r>
  <r>
    <s v="S1022"/>
    <x v="22"/>
    <x v="5"/>
    <x v="0"/>
    <d v="2023-06-01T00:00:00"/>
    <x v="1"/>
    <n v="2797"/>
    <n v="6036"/>
    <n v="2.36"/>
    <n v="14"/>
  </r>
  <r>
    <s v="S1023"/>
    <x v="23"/>
    <x v="0"/>
    <x v="2"/>
    <d v="2023-06-06T00:00:00"/>
    <x v="1"/>
    <n v="6057"/>
    <n v="7133"/>
    <n v="2.57"/>
    <n v="93"/>
  </r>
  <r>
    <s v="S1024"/>
    <x v="24"/>
    <x v="7"/>
    <x v="2"/>
    <d v="2022-03-01T00:00:00"/>
    <x v="1"/>
    <n v="8791"/>
    <n v="7232"/>
    <n v="3.2"/>
    <n v="14"/>
  </r>
  <r>
    <s v="S1025"/>
    <x v="25"/>
    <x v="2"/>
    <x v="3"/>
    <d v="2024-04-06T00:00:00"/>
    <x v="0"/>
    <n v="6655"/>
    <n v="6637"/>
    <n v="3.15"/>
    <n v="43"/>
  </r>
  <r>
    <s v="S1026"/>
    <x v="26"/>
    <x v="0"/>
    <x v="2"/>
    <s v="6/15/2023"/>
    <x v="1"/>
    <n v="5008"/>
    <n v="907"/>
    <n v="3.83"/>
    <n v="96"/>
  </r>
  <r>
    <s v="S1027"/>
    <x v="27"/>
    <x v="5"/>
    <x v="1"/>
    <s v="6/25/2022"/>
    <x v="0"/>
    <n v="13997"/>
    <n v="2778"/>
    <n v="3.22"/>
    <n v="87"/>
  </r>
  <r>
    <s v="S1028"/>
    <x v="28"/>
    <x v="2"/>
    <x v="3"/>
    <d v="2023-09-06T00:00:00"/>
    <x v="0"/>
    <n v="4627"/>
    <n v="5935"/>
    <n v="2.29"/>
    <n v="118"/>
  </r>
  <r>
    <s v="S1029"/>
    <x v="29"/>
    <x v="0"/>
    <x v="1"/>
    <d v="2024-05-04T00:00:00"/>
    <x v="1"/>
    <n v="6711"/>
    <n v="9649"/>
    <n v="3.2"/>
    <n v="54"/>
  </r>
  <r>
    <s v="S1030"/>
    <x v="30"/>
    <x v="7"/>
    <x v="1"/>
    <s v="9/27/2022"/>
    <x v="1"/>
    <n v="2173"/>
    <n v="5739"/>
    <n v="3.09"/>
    <n v="97"/>
  </r>
  <r>
    <s v="S1031"/>
    <x v="31"/>
    <x v="7"/>
    <x v="3"/>
    <d v="2022-10-02T00:00:00"/>
    <x v="0"/>
    <n v="8163"/>
    <n v="7715"/>
    <n v="2.2799999999999998"/>
    <n v="19"/>
  </r>
  <r>
    <s v="S1032"/>
    <x v="32"/>
    <x v="4"/>
    <x v="0"/>
    <d v="2022-01-01T00:00:00"/>
    <x v="0"/>
    <n v="14774"/>
    <n v="1884"/>
    <n v="2.78"/>
    <n v="9"/>
  </r>
  <r>
    <s v="S1033"/>
    <x v="33"/>
    <x v="7"/>
    <x v="2"/>
    <s v="6/14/2023"/>
    <x v="1"/>
    <n v="7783"/>
    <n v="3240"/>
    <n v="2.82"/>
    <n v="115"/>
  </r>
  <r>
    <s v="S1034"/>
    <x v="34"/>
    <x v="3"/>
    <x v="2"/>
    <s v="3/30/2022"/>
    <x v="1"/>
    <n v="14442"/>
    <n v="7220"/>
    <n v="2.76"/>
    <n v="109"/>
  </r>
  <r>
    <s v="S1035"/>
    <x v="35"/>
    <x v="6"/>
    <x v="1"/>
    <d v="2023-07-05T00:00:00"/>
    <x v="0"/>
    <n v="4770"/>
    <n v="945"/>
    <n v="2.75"/>
    <n v="38"/>
  </r>
  <r>
    <s v="S1036"/>
    <x v="36"/>
    <x v="1"/>
    <x v="0"/>
    <d v="2024-06-02T00:00:00"/>
    <x v="1"/>
    <n v="14761"/>
    <n v="4478"/>
    <n v="2.65"/>
    <n v="2"/>
  </r>
  <r>
    <s v="S1037"/>
    <x v="37"/>
    <x v="7"/>
    <x v="1"/>
    <s v="2/27/2022"/>
    <x v="1"/>
    <n v="14013"/>
    <n v="9022"/>
    <n v="2.13"/>
    <n v="10"/>
  </r>
  <r>
    <s v="S1038"/>
    <x v="38"/>
    <x v="3"/>
    <x v="3"/>
    <s v="3/28/2024"/>
    <x v="1"/>
    <n v="8345"/>
    <n v="5347"/>
    <n v="3.8"/>
    <n v="53"/>
  </r>
  <r>
    <s v="S1039"/>
    <x v="39"/>
    <x v="1"/>
    <x v="1"/>
    <s v="11/18/2022"/>
    <x v="0"/>
    <n v="10449"/>
    <n v="4324"/>
    <n v="3.08"/>
    <n v="2"/>
  </r>
  <r>
    <s v="S1040"/>
    <x v="40"/>
    <x v="5"/>
    <x v="2"/>
    <s v="2/22/2023"/>
    <x v="0"/>
    <n v="14303"/>
    <n v="4160"/>
    <n v="2.39"/>
    <n v="42"/>
  </r>
  <r>
    <s v="S1041"/>
    <x v="41"/>
    <x v="6"/>
    <x v="1"/>
    <s v="1/16/2022"/>
    <x v="0"/>
    <n v="5900"/>
    <n v="9481"/>
    <n v="3.17"/>
    <n v="15"/>
  </r>
  <r>
    <s v="S1042"/>
    <x v="42"/>
    <x v="5"/>
    <x v="1"/>
    <s v="12/20/2022"/>
    <x v="1"/>
    <n v="6128"/>
    <n v="7957"/>
    <n v="2.2799999999999998"/>
    <n v="115"/>
  </r>
  <r>
    <s v="S1043"/>
    <x v="43"/>
    <x v="5"/>
    <x v="0"/>
    <d v="2023-12-03T00:00:00"/>
    <x v="0"/>
    <n v="10731"/>
    <n v="8324"/>
    <n v="3.2"/>
    <n v="13"/>
  </r>
  <r>
    <s v="S1044"/>
    <x v="44"/>
    <x v="6"/>
    <x v="2"/>
    <s v="3/29/2022"/>
    <x v="0"/>
    <n v="12461"/>
    <n v="5874"/>
    <n v="2.31"/>
    <n v="114"/>
  </r>
  <r>
    <s v="S1045"/>
    <x v="45"/>
    <x v="5"/>
    <x v="0"/>
    <s v="8/22/2023"/>
    <x v="0"/>
    <n v="13677"/>
    <n v="7817"/>
    <n v="3.39"/>
    <n v="74"/>
  </r>
  <r>
    <s v="S1046"/>
    <x v="46"/>
    <x v="2"/>
    <x v="0"/>
    <d v="2023-01-09T00:00:00"/>
    <x v="0"/>
    <n v="9276"/>
    <n v="5837"/>
    <n v="3.16"/>
    <n v="92"/>
  </r>
  <r>
    <s v="S1047"/>
    <x v="47"/>
    <x v="0"/>
    <x v="1"/>
    <s v="9/13/2023"/>
    <x v="0"/>
    <n v="2183"/>
    <n v="7214"/>
    <n v="3.33"/>
    <n v="97"/>
  </r>
  <r>
    <s v="S1048"/>
    <x v="48"/>
    <x v="2"/>
    <x v="0"/>
    <s v="4/26/2023"/>
    <x v="1"/>
    <n v="6227"/>
    <n v="5349"/>
    <n v="3.85"/>
    <n v="75"/>
  </r>
  <r>
    <s v="S1049"/>
    <x v="49"/>
    <x v="4"/>
    <x v="0"/>
    <d v="2022-07-02T00:00:00"/>
    <x v="0"/>
    <n v="4500"/>
    <n v="1352"/>
    <n v="2.91"/>
    <n v="87"/>
  </r>
  <r>
    <s v="S1050"/>
    <x v="50"/>
    <x v="5"/>
    <x v="1"/>
    <d v="2024-02-03T00:00:00"/>
    <x v="0"/>
    <n v="4615"/>
    <n v="3667"/>
    <n v="3.61"/>
    <n v="41"/>
  </r>
  <r>
    <s v="S1051"/>
    <x v="51"/>
    <x v="4"/>
    <x v="3"/>
    <s v="5/24/2022"/>
    <x v="0"/>
    <n v="11879"/>
    <n v="1955"/>
    <n v="3.1"/>
    <n v="7"/>
  </r>
  <r>
    <s v="S1052"/>
    <x v="52"/>
    <x v="5"/>
    <x v="3"/>
    <s v="11/28/2022"/>
    <x v="0"/>
    <n v="4067"/>
    <n v="6992"/>
    <n v="2.34"/>
    <n v="20"/>
  </r>
  <r>
    <s v="S1053"/>
    <x v="53"/>
    <x v="3"/>
    <x v="1"/>
    <s v="3/13/2023"/>
    <x v="1"/>
    <n v="4873"/>
    <n v="4377"/>
    <n v="3.78"/>
    <n v="80"/>
  </r>
  <r>
    <s v="S1054"/>
    <x v="54"/>
    <x v="1"/>
    <x v="3"/>
    <d v="2023-04-01T00:00:00"/>
    <x v="0"/>
    <n v="3391"/>
    <n v="8884"/>
    <n v="3.88"/>
    <n v="59"/>
  </r>
  <r>
    <s v="S1055"/>
    <x v="55"/>
    <x v="3"/>
    <x v="3"/>
    <d v="2024-09-01T00:00:00"/>
    <x v="0"/>
    <n v="10808"/>
    <n v="8868"/>
    <n v="2.4300000000000002"/>
    <n v="18"/>
  </r>
  <r>
    <s v="S1056"/>
    <x v="56"/>
    <x v="6"/>
    <x v="0"/>
    <d v="2022-12-08T00:00:00"/>
    <x v="0"/>
    <n v="5739"/>
    <n v="9881"/>
    <n v="2.42"/>
    <n v="78"/>
  </r>
  <r>
    <s v="S1057"/>
    <x v="57"/>
    <x v="2"/>
    <x v="2"/>
    <d v="2023-09-06T00:00:00"/>
    <x v="0"/>
    <n v="4317"/>
    <n v="4541"/>
    <n v="3.49"/>
    <n v="107"/>
  </r>
  <r>
    <s v="S1058"/>
    <x v="58"/>
    <x v="1"/>
    <x v="1"/>
    <s v="11/25/2023"/>
    <x v="2"/>
    <n v="7954"/>
    <n v="9329"/>
    <n v="3.4"/>
    <n v="64"/>
  </r>
  <r>
    <s v="S1059"/>
    <x v="59"/>
    <x v="6"/>
    <x v="1"/>
    <s v="8/13/2022"/>
    <x v="2"/>
    <n v="10043"/>
    <n v="631"/>
    <n v="2.68"/>
    <n v="77"/>
  </r>
  <r>
    <s v="S1060"/>
    <x v="60"/>
    <x v="5"/>
    <x v="3"/>
    <d v="2022-05-11T00:00:00"/>
    <x v="0"/>
    <n v="6418"/>
    <n v="3384"/>
    <n v="2"/>
    <n v="93"/>
  </r>
  <r>
    <s v="S1061"/>
    <x v="61"/>
    <x v="5"/>
    <x v="3"/>
    <s v="11/26/2023"/>
    <x v="0"/>
    <n v="4274"/>
    <n v="2777"/>
    <n v="3.53"/>
    <n v="22"/>
  </r>
  <r>
    <s v="S1062"/>
    <x v="62"/>
    <x v="3"/>
    <x v="3"/>
    <s v="6/24/2022"/>
    <x v="0"/>
    <n v="14423"/>
    <n v="883"/>
    <n v="2.12"/>
    <n v="84"/>
  </r>
  <r>
    <s v="S1063"/>
    <x v="63"/>
    <x v="0"/>
    <x v="1"/>
    <s v="8/28/2022"/>
    <x v="1"/>
    <n v="5263"/>
    <n v="8683"/>
    <n v="2.31"/>
    <n v="45"/>
  </r>
  <r>
    <s v="S1064"/>
    <x v="64"/>
    <x v="2"/>
    <x v="1"/>
    <s v="11/19/2022"/>
    <x v="0"/>
    <n v="11418"/>
    <n v="7383"/>
    <n v="2.23"/>
    <n v="98"/>
  </r>
  <r>
    <s v="S1065"/>
    <x v="65"/>
    <x v="1"/>
    <x v="3"/>
    <s v="6/25/2023"/>
    <x v="0"/>
    <n v="12257"/>
    <n v="1265"/>
    <n v="2.67"/>
    <n v="77"/>
  </r>
  <r>
    <s v="S1066"/>
    <x v="66"/>
    <x v="4"/>
    <x v="2"/>
    <s v="5/15/2023"/>
    <x v="0"/>
    <n v="11963"/>
    <n v="6042"/>
    <n v="3.93"/>
    <n v="15"/>
  </r>
  <r>
    <s v="S1067"/>
    <x v="67"/>
    <x v="4"/>
    <x v="2"/>
    <s v="9/16/2023"/>
    <x v="0"/>
    <n v="14287"/>
    <n v="7031"/>
    <n v="3.57"/>
    <n v="47"/>
  </r>
  <r>
    <s v="S1068"/>
    <x v="68"/>
    <x v="2"/>
    <x v="1"/>
    <s v="6/20/2023"/>
    <x v="0"/>
    <n v="13017"/>
    <n v="5214"/>
    <n v="3.64"/>
    <n v="1"/>
  </r>
  <r>
    <s v="S1069"/>
    <x v="69"/>
    <x v="5"/>
    <x v="0"/>
    <s v="10/24/2022"/>
    <x v="0"/>
    <n v="5312"/>
    <n v="9048"/>
    <n v="3.35"/>
    <n v="66"/>
  </r>
  <r>
    <s v="S1070"/>
    <x v="70"/>
    <x v="1"/>
    <x v="3"/>
    <s v="8/18/2023"/>
    <x v="0"/>
    <n v="3888"/>
    <n v="3552"/>
    <n v="3.89"/>
    <n v="104"/>
  </r>
  <r>
    <s v="S1071"/>
    <x v="71"/>
    <x v="1"/>
    <x v="1"/>
    <d v="2022-07-02T00:00:00"/>
    <x v="0"/>
    <n v="5609"/>
    <n v="3376"/>
    <n v="2.75"/>
    <n v="105"/>
  </r>
  <r>
    <s v="S1072"/>
    <x v="72"/>
    <x v="4"/>
    <x v="1"/>
    <s v="4/21/2022"/>
    <x v="0"/>
    <n v="12778"/>
    <n v="4343"/>
    <n v="2.79"/>
    <n v="109"/>
  </r>
  <r>
    <s v="S1073"/>
    <x v="73"/>
    <x v="5"/>
    <x v="0"/>
    <d v="2023-07-11T00:00:00"/>
    <x v="1"/>
    <n v="13270"/>
    <n v="5520"/>
    <n v="2.12"/>
    <n v="111"/>
  </r>
  <r>
    <s v="S1074"/>
    <x v="74"/>
    <x v="3"/>
    <x v="1"/>
    <d v="2022-03-07T00:00:00"/>
    <x v="0"/>
    <n v="13617"/>
    <n v="7511"/>
    <n v="3.37"/>
    <n v="72"/>
  </r>
  <r>
    <s v="S1075"/>
    <x v="75"/>
    <x v="2"/>
    <x v="2"/>
    <d v="2022-08-07T00:00:00"/>
    <x v="2"/>
    <n v="5155"/>
    <n v="596"/>
    <n v="3.34"/>
    <n v="18"/>
  </r>
  <r>
    <s v="S1076"/>
    <x v="76"/>
    <x v="1"/>
    <x v="3"/>
    <d v="2022-01-12T00:00:00"/>
    <x v="0"/>
    <n v="14298"/>
    <n v="5064"/>
    <n v="3.83"/>
    <n v="17"/>
  </r>
  <r>
    <s v="S1077"/>
    <x v="77"/>
    <x v="1"/>
    <x v="0"/>
    <d v="2023-12-05T00:00:00"/>
    <x v="0"/>
    <n v="4932"/>
    <n v="9149"/>
    <n v="2.38"/>
    <n v="32"/>
  </r>
  <r>
    <s v="S1078"/>
    <x v="78"/>
    <x v="6"/>
    <x v="1"/>
    <s v="12/27/2023"/>
    <x v="0"/>
    <n v="14685"/>
    <n v="9078"/>
    <n v="2.02"/>
    <n v="27"/>
  </r>
  <r>
    <s v="S1079"/>
    <x v="79"/>
    <x v="2"/>
    <x v="0"/>
    <s v="5/26/2024"/>
    <x v="0"/>
    <n v="4021"/>
    <n v="9984"/>
    <n v="2.65"/>
    <n v="55"/>
  </r>
  <r>
    <s v="S1080"/>
    <x v="80"/>
    <x v="2"/>
    <x v="2"/>
    <d v="2023-03-09T00:00:00"/>
    <x v="0"/>
    <n v="14754"/>
    <n v="8580"/>
    <n v="3.89"/>
    <n v="68"/>
  </r>
  <r>
    <s v="S1081"/>
    <x v="81"/>
    <x v="7"/>
    <x v="3"/>
    <s v="9/20/2022"/>
    <x v="2"/>
    <n v="7359"/>
    <n v="9908"/>
    <n v="3.53"/>
    <n v="35"/>
  </r>
  <r>
    <s v="S1082"/>
    <x v="82"/>
    <x v="5"/>
    <x v="3"/>
    <d v="2022-02-04T00:00:00"/>
    <x v="0"/>
    <n v="9833"/>
    <n v="1595"/>
    <n v="3.64"/>
    <n v="28"/>
  </r>
  <r>
    <s v="S1083"/>
    <x v="83"/>
    <x v="3"/>
    <x v="2"/>
    <s v="9/17/2023"/>
    <x v="1"/>
    <n v="9039"/>
    <n v="6799"/>
    <n v="2.57"/>
    <n v="74"/>
  </r>
  <r>
    <s v="S1084"/>
    <x v="84"/>
    <x v="3"/>
    <x v="0"/>
    <d v="2022-07-03T00:00:00"/>
    <x v="1"/>
    <n v="7072"/>
    <n v="3108"/>
    <n v="3.66"/>
    <n v="82"/>
  </r>
  <r>
    <s v="S1085"/>
    <x v="85"/>
    <x v="5"/>
    <x v="2"/>
    <s v="11/29/2022"/>
    <x v="0"/>
    <n v="14564"/>
    <n v="9872"/>
    <n v="2.64"/>
    <n v="81"/>
  </r>
  <r>
    <s v="S1086"/>
    <x v="86"/>
    <x v="6"/>
    <x v="1"/>
    <d v="2022-05-10T00:00:00"/>
    <x v="0"/>
    <n v="9580"/>
    <n v="3701"/>
    <n v="2.27"/>
    <n v="14"/>
  </r>
  <r>
    <s v="S1087"/>
    <x v="87"/>
    <x v="2"/>
    <x v="3"/>
    <s v="8/28/2022"/>
    <x v="0"/>
    <n v="13295"/>
    <n v="1841"/>
    <n v="2.4"/>
    <n v="41"/>
  </r>
  <r>
    <s v="S1088"/>
    <x v="88"/>
    <x v="5"/>
    <x v="0"/>
    <s v="5/27/2023"/>
    <x v="0"/>
    <n v="13755"/>
    <n v="1211"/>
    <n v="2.92"/>
    <n v="95"/>
  </r>
  <r>
    <s v="S1089"/>
    <x v="89"/>
    <x v="2"/>
    <x v="3"/>
    <s v="1/20/2023"/>
    <x v="1"/>
    <n v="5803"/>
    <n v="4278"/>
    <n v="3.56"/>
    <n v="54"/>
  </r>
  <r>
    <s v="S1090"/>
    <x v="90"/>
    <x v="3"/>
    <x v="0"/>
    <s v="2/28/2022"/>
    <x v="1"/>
    <n v="4425"/>
    <n v="3762"/>
    <n v="3.25"/>
    <n v="88"/>
  </r>
  <r>
    <s v="S1091"/>
    <x v="91"/>
    <x v="7"/>
    <x v="2"/>
    <s v="3/28/2023"/>
    <x v="0"/>
    <n v="10595"/>
    <n v="583"/>
    <n v="2.06"/>
    <n v="53"/>
  </r>
  <r>
    <s v="S1092"/>
    <x v="92"/>
    <x v="6"/>
    <x v="3"/>
    <d v="2022-12-11T00:00:00"/>
    <x v="0"/>
    <n v="4640"/>
    <n v="9029"/>
    <n v="2.2000000000000002"/>
    <n v="49"/>
  </r>
  <r>
    <s v="S1093"/>
    <x v="93"/>
    <x v="2"/>
    <x v="1"/>
    <d v="2023-08-01T00:00:00"/>
    <x v="0"/>
    <n v="10193"/>
    <n v="2692"/>
    <n v="2.72"/>
    <n v="65"/>
  </r>
  <r>
    <s v="S1094"/>
    <x v="94"/>
    <x v="3"/>
    <x v="0"/>
    <d v="2024-02-01T00:00:00"/>
    <x v="1"/>
    <n v="8635"/>
    <n v="4086"/>
    <n v="3.63"/>
    <n v="15"/>
  </r>
  <r>
    <s v="S1095"/>
    <x v="95"/>
    <x v="5"/>
    <x v="3"/>
    <d v="2022-12-03T00:00:00"/>
    <x v="1"/>
    <n v="14890"/>
    <n v="2674"/>
    <n v="3.17"/>
    <n v="93"/>
  </r>
  <r>
    <s v="S1096"/>
    <x v="96"/>
    <x v="1"/>
    <x v="3"/>
    <d v="2022-10-03T00:00:00"/>
    <x v="0"/>
    <n v="4942"/>
    <n v="4382"/>
    <n v="3.43"/>
    <n v="39"/>
  </r>
  <r>
    <s v="S1097"/>
    <x v="97"/>
    <x v="4"/>
    <x v="0"/>
    <s v="10/15/2023"/>
    <x v="0"/>
    <n v="12134"/>
    <n v="838"/>
    <n v="3.48"/>
    <n v="20"/>
  </r>
  <r>
    <s v="S1098"/>
    <x v="98"/>
    <x v="5"/>
    <x v="0"/>
    <d v="2023-10-01T00:00:00"/>
    <x v="0"/>
    <n v="5970"/>
    <n v="5622"/>
    <n v="3.22"/>
    <n v="118"/>
  </r>
  <r>
    <s v="S1099"/>
    <x v="99"/>
    <x v="6"/>
    <x v="2"/>
    <d v="2023-01-10T00:00:00"/>
    <x v="0"/>
    <n v="4576"/>
    <n v="8102"/>
    <n v="2.91"/>
    <n v="111"/>
  </r>
  <r>
    <s v="S1100"/>
    <x v="100"/>
    <x v="6"/>
    <x v="3"/>
    <s v="4/22/2022"/>
    <x v="1"/>
    <n v="4673"/>
    <n v="5393"/>
    <n v="2.2799999999999998"/>
    <n v="35"/>
  </r>
  <r>
    <s v="S1101"/>
    <x v="101"/>
    <x v="2"/>
    <x v="2"/>
    <s v="11/18/2022"/>
    <x v="1"/>
    <n v="11777"/>
    <n v="5757"/>
    <n v="3.22"/>
    <n v="19"/>
  </r>
  <r>
    <s v="S1102"/>
    <x v="102"/>
    <x v="5"/>
    <x v="1"/>
    <d v="2024-03-05T00:00:00"/>
    <x v="0"/>
    <n v="3948"/>
    <n v="913"/>
    <n v="3.44"/>
    <n v="101"/>
  </r>
  <r>
    <s v="S1103"/>
    <x v="103"/>
    <x v="7"/>
    <x v="2"/>
    <d v="2023-12-08T00:00:00"/>
    <x v="1"/>
    <n v="3512"/>
    <n v="4473"/>
    <n v="2.92"/>
    <n v="63"/>
  </r>
  <r>
    <s v="S1104"/>
    <x v="104"/>
    <x v="1"/>
    <x v="2"/>
    <s v="6/13/2024"/>
    <x v="0"/>
    <n v="4717"/>
    <n v="7462"/>
    <n v="3.58"/>
    <n v="1"/>
  </r>
  <r>
    <s v="S1105"/>
    <x v="105"/>
    <x v="2"/>
    <x v="0"/>
    <s v="6/15/2023"/>
    <x v="2"/>
    <n v="2717"/>
    <n v="9601"/>
    <n v="2.14"/>
    <n v="11"/>
  </r>
  <r>
    <s v="S1106"/>
    <x v="106"/>
    <x v="1"/>
    <x v="2"/>
    <d v="2022-09-02T00:00:00"/>
    <x v="1"/>
    <n v="9160"/>
    <n v="3049"/>
    <n v="3.59"/>
    <n v="2"/>
  </r>
  <r>
    <s v="S1107"/>
    <x v="107"/>
    <x v="7"/>
    <x v="0"/>
    <d v="2023-03-04T00:00:00"/>
    <x v="0"/>
    <n v="3268"/>
    <n v="424"/>
    <n v="2.85"/>
    <n v="59"/>
  </r>
  <r>
    <s v="S1108"/>
    <x v="108"/>
    <x v="3"/>
    <x v="2"/>
    <d v="2023-06-01T00:00:00"/>
    <x v="0"/>
    <n v="4636"/>
    <n v="2544"/>
    <n v="3.31"/>
    <n v="60"/>
  </r>
  <r>
    <s v="S1109"/>
    <x v="109"/>
    <x v="4"/>
    <x v="2"/>
    <s v="10/24/2023"/>
    <x v="0"/>
    <n v="10654"/>
    <n v="4738"/>
    <n v="2.67"/>
    <n v="53"/>
  </r>
  <r>
    <s v="S1110"/>
    <x v="110"/>
    <x v="4"/>
    <x v="2"/>
    <s v="4/20/2023"/>
    <x v="0"/>
    <n v="9355"/>
    <n v="8250"/>
    <n v="3.02"/>
    <n v="92"/>
  </r>
  <r>
    <s v="S1111"/>
    <x v="111"/>
    <x v="5"/>
    <x v="1"/>
    <s v="10/30/2022"/>
    <x v="0"/>
    <n v="12309"/>
    <n v="1062"/>
    <n v="2.71"/>
    <n v="116"/>
  </r>
  <r>
    <s v="S1112"/>
    <x v="112"/>
    <x v="3"/>
    <x v="2"/>
    <d v="2024-11-02T00:00:00"/>
    <x v="0"/>
    <n v="8529"/>
    <n v="5629"/>
    <n v="3.62"/>
    <n v="95"/>
  </r>
  <r>
    <s v="S1113"/>
    <x v="113"/>
    <x v="0"/>
    <x v="3"/>
    <d v="2022-01-10T00:00:00"/>
    <x v="0"/>
    <n v="7580"/>
    <n v="7611"/>
    <n v="3.77"/>
    <n v="82"/>
  </r>
  <r>
    <s v="S1114"/>
    <x v="114"/>
    <x v="5"/>
    <x v="3"/>
    <d v="2022-02-02T00:00:00"/>
    <x v="0"/>
    <n v="4713"/>
    <n v="8232"/>
    <n v="2.87"/>
    <n v="98"/>
  </r>
  <r>
    <s v="S1115"/>
    <x v="115"/>
    <x v="0"/>
    <x v="1"/>
    <d v="2022-04-02T00:00:00"/>
    <x v="0"/>
    <n v="9304"/>
    <n v="1312"/>
    <n v="2.62"/>
    <n v="102"/>
  </r>
  <r>
    <s v="S1116"/>
    <x v="116"/>
    <x v="2"/>
    <x v="1"/>
    <s v="3/18/2024"/>
    <x v="0"/>
    <n v="2599"/>
    <n v="6425"/>
    <n v="3.62"/>
    <n v="5"/>
  </r>
  <r>
    <s v="S1117"/>
    <x v="117"/>
    <x v="1"/>
    <x v="3"/>
    <d v="2023-03-10T00:00:00"/>
    <x v="0"/>
    <n v="12572"/>
    <n v="8587"/>
    <n v="3.67"/>
    <n v="14"/>
  </r>
  <r>
    <s v="S1118"/>
    <x v="118"/>
    <x v="2"/>
    <x v="0"/>
    <s v="2/28/2024"/>
    <x v="0"/>
    <n v="10736"/>
    <n v="6508"/>
    <n v="2.48"/>
    <n v="21"/>
  </r>
  <r>
    <s v="S1119"/>
    <x v="119"/>
    <x v="6"/>
    <x v="2"/>
    <s v="2/17/2022"/>
    <x v="0"/>
    <n v="11349"/>
    <n v="8642"/>
    <n v="3.5"/>
    <n v="112"/>
  </r>
  <r>
    <s v="S1120"/>
    <x v="120"/>
    <x v="3"/>
    <x v="0"/>
    <d v="2023-11-07T00:00:00"/>
    <x v="0"/>
    <n v="2073"/>
    <n v="1993"/>
    <n v="3.62"/>
    <n v="0"/>
  </r>
  <r>
    <s v="S1121"/>
    <x v="121"/>
    <x v="3"/>
    <x v="2"/>
    <d v="2023-06-11T00:00:00"/>
    <x v="1"/>
    <n v="3742"/>
    <n v="4389"/>
    <n v="2.67"/>
    <n v="9"/>
  </r>
  <r>
    <s v="S1122"/>
    <x v="122"/>
    <x v="1"/>
    <x v="1"/>
    <d v="2024-08-01T00:00:00"/>
    <x v="0"/>
    <n v="5954"/>
    <n v="8075"/>
    <n v="2.82"/>
    <n v="57"/>
  </r>
  <r>
    <s v="S1123"/>
    <x v="123"/>
    <x v="1"/>
    <x v="0"/>
    <s v="11/26/2023"/>
    <x v="1"/>
    <n v="5513"/>
    <n v="1545"/>
    <n v="2.72"/>
    <n v="79"/>
  </r>
  <r>
    <s v="S1124"/>
    <x v="124"/>
    <x v="6"/>
    <x v="0"/>
    <s v="3/13/2024"/>
    <x v="1"/>
    <n v="9374"/>
    <n v="3980"/>
    <n v="3.9"/>
    <n v="92"/>
  </r>
  <r>
    <s v="S1125"/>
    <x v="125"/>
    <x v="6"/>
    <x v="3"/>
    <s v="9/21/2022"/>
    <x v="0"/>
    <n v="13694"/>
    <n v="5031"/>
    <n v="2.2400000000000002"/>
    <n v="42"/>
  </r>
  <r>
    <s v="S1126"/>
    <x v="126"/>
    <x v="4"/>
    <x v="3"/>
    <d v="2023-11-12T00:00:00"/>
    <x v="1"/>
    <n v="7401"/>
    <n v="5862"/>
    <n v="3.24"/>
    <n v="1"/>
  </r>
  <r>
    <s v="S1127"/>
    <x v="127"/>
    <x v="4"/>
    <x v="2"/>
    <s v="3/28/2024"/>
    <x v="0"/>
    <n v="10718"/>
    <n v="5162"/>
    <n v="3.21"/>
    <n v="32"/>
  </r>
  <r>
    <s v="S1128"/>
    <x v="128"/>
    <x v="5"/>
    <x v="2"/>
    <s v="2/27/2022"/>
    <x v="0"/>
    <n v="8809"/>
    <n v="7719"/>
    <n v="2.92"/>
    <n v="39"/>
  </r>
  <r>
    <s v="S1129"/>
    <x v="129"/>
    <x v="3"/>
    <x v="3"/>
    <s v="4/21/2023"/>
    <x v="2"/>
    <n v="5590"/>
    <n v="9943"/>
    <n v="2.37"/>
    <n v="4"/>
  </r>
  <r>
    <s v="S1130"/>
    <x v="130"/>
    <x v="5"/>
    <x v="2"/>
    <d v="2022-02-06T00:00:00"/>
    <x v="1"/>
    <n v="4728"/>
    <n v="2909"/>
    <n v="3.64"/>
    <n v="39"/>
  </r>
  <r>
    <s v="S1131"/>
    <x v="131"/>
    <x v="4"/>
    <x v="2"/>
    <d v="2022-08-05T00:00:00"/>
    <x v="1"/>
    <n v="9469"/>
    <n v="6841"/>
    <n v="2.94"/>
    <n v="53"/>
  </r>
  <r>
    <s v="S1132"/>
    <x v="132"/>
    <x v="7"/>
    <x v="3"/>
    <s v="7/31/2022"/>
    <x v="0"/>
    <n v="10140"/>
    <n v="8620"/>
    <n v="3.6"/>
    <n v="115"/>
  </r>
  <r>
    <s v="S1133"/>
    <x v="133"/>
    <x v="5"/>
    <x v="2"/>
    <s v="1/16/2024"/>
    <x v="0"/>
    <n v="9766"/>
    <n v="5059"/>
    <n v="3.41"/>
    <n v="56"/>
  </r>
  <r>
    <s v="S1134"/>
    <x v="134"/>
    <x v="2"/>
    <x v="2"/>
    <s v="11/29/2023"/>
    <x v="1"/>
    <n v="3860"/>
    <n v="8811"/>
    <n v="3.15"/>
    <n v="103"/>
  </r>
  <r>
    <s v="S1135"/>
    <x v="135"/>
    <x v="1"/>
    <x v="0"/>
    <d v="2023-02-07T00:00:00"/>
    <x v="1"/>
    <n v="7810"/>
    <n v="857"/>
    <n v="3.97"/>
    <n v="63"/>
  </r>
  <r>
    <s v="S1136"/>
    <x v="136"/>
    <x v="4"/>
    <x v="2"/>
    <s v="3/13/2024"/>
    <x v="2"/>
    <n v="2993"/>
    <n v="1240"/>
    <n v="3.79"/>
    <n v="111"/>
  </r>
  <r>
    <s v="S1137"/>
    <x v="137"/>
    <x v="4"/>
    <x v="1"/>
    <d v="2022-03-07T00:00:00"/>
    <x v="0"/>
    <n v="2004"/>
    <n v="965"/>
    <n v="3.84"/>
    <n v="87"/>
  </r>
  <r>
    <s v="S1138"/>
    <x v="138"/>
    <x v="7"/>
    <x v="0"/>
    <s v="7/14/2022"/>
    <x v="2"/>
    <n v="8745"/>
    <n v="7279"/>
    <n v="2.97"/>
    <n v="31"/>
  </r>
  <r>
    <s v="S1139"/>
    <x v="139"/>
    <x v="5"/>
    <x v="1"/>
    <d v="2022-11-03T00:00:00"/>
    <x v="0"/>
    <n v="13687"/>
    <n v="366"/>
    <n v="3.07"/>
    <n v="39"/>
  </r>
  <r>
    <s v="S1140"/>
    <x v="140"/>
    <x v="6"/>
    <x v="0"/>
    <s v="7/24/2022"/>
    <x v="0"/>
    <n v="14018"/>
    <n v="463"/>
    <n v="2.0699999999999998"/>
    <n v="33"/>
  </r>
  <r>
    <s v="S1141"/>
    <x v="141"/>
    <x v="7"/>
    <x v="2"/>
    <d v="2022-07-10T00:00:00"/>
    <x v="0"/>
    <n v="9817"/>
    <n v="5564"/>
    <n v="2.57"/>
    <n v="48"/>
  </r>
  <r>
    <s v="S1142"/>
    <x v="142"/>
    <x v="4"/>
    <x v="0"/>
    <s v="3/15/2023"/>
    <x v="1"/>
    <n v="13150"/>
    <n v="5003"/>
    <n v="2.38"/>
    <n v="87"/>
  </r>
  <r>
    <s v="S1143"/>
    <x v="143"/>
    <x v="4"/>
    <x v="0"/>
    <s v="7/16/2023"/>
    <x v="1"/>
    <n v="14774"/>
    <n v="3722"/>
    <n v="3.78"/>
    <n v="106"/>
  </r>
  <r>
    <s v="S1144"/>
    <x v="144"/>
    <x v="5"/>
    <x v="2"/>
    <s v="3/17/2024"/>
    <x v="0"/>
    <n v="5340"/>
    <n v="8997"/>
    <n v="2.54"/>
    <n v="59"/>
  </r>
  <r>
    <s v="S1145"/>
    <x v="145"/>
    <x v="2"/>
    <x v="2"/>
    <s v="1/18/2022"/>
    <x v="1"/>
    <n v="12094"/>
    <n v="3403"/>
    <n v="2.27"/>
    <n v="69"/>
  </r>
  <r>
    <s v="S1146"/>
    <x v="146"/>
    <x v="6"/>
    <x v="0"/>
    <s v="3/29/2023"/>
    <x v="0"/>
    <n v="14344"/>
    <n v="1358"/>
    <n v="3.34"/>
    <n v="3"/>
  </r>
  <r>
    <s v="S1147"/>
    <x v="147"/>
    <x v="6"/>
    <x v="1"/>
    <s v="8/21/2022"/>
    <x v="0"/>
    <n v="7247"/>
    <n v="6919"/>
    <n v="2.27"/>
    <n v="109"/>
  </r>
  <r>
    <s v="S1148"/>
    <x v="148"/>
    <x v="5"/>
    <x v="3"/>
    <s v="7/31/2023"/>
    <x v="0"/>
    <n v="8141"/>
    <n v="427"/>
    <n v="2.17"/>
    <n v="113"/>
  </r>
  <r>
    <s v="S1149"/>
    <x v="149"/>
    <x v="6"/>
    <x v="3"/>
    <s v="5/15/2022"/>
    <x v="0"/>
    <n v="9809"/>
    <n v="8641"/>
    <n v="2.4"/>
    <n v="87"/>
  </r>
  <r>
    <s v="S1150"/>
    <x v="150"/>
    <x v="1"/>
    <x v="1"/>
    <d v="2022-04-10T00:00:00"/>
    <x v="0"/>
    <n v="10454"/>
    <n v="3317"/>
    <n v="2.06"/>
    <n v="29"/>
  </r>
  <r>
    <s v="S1151"/>
    <x v="151"/>
    <x v="6"/>
    <x v="1"/>
    <s v="8/26/2023"/>
    <x v="0"/>
    <n v="10121"/>
    <n v="466"/>
    <n v="2.3199999999999998"/>
    <n v="90"/>
  </r>
  <r>
    <s v="S1152"/>
    <x v="152"/>
    <x v="5"/>
    <x v="2"/>
    <s v="5/28/2024"/>
    <x v="0"/>
    <n v="4736"/>
    <n v="3962"/>
    <n v="3.01"/>
    <n v="17"/>
  </r>
  <r>
    <s v="S1153"/>
    <x v="153"/>
    <x v="4"/>
    <x v="2"/>
    <s v="2/26/2022"/>
    <x v="2"/>
    <n v="9014"/>
    <n v="3013"/>
    <n v="2.99"/>
    <n v="45"/>
  </r>
  <r>
    <s v="S1154"/>
    <x v="154"/>
    <x v="0"/>
    <x v="1"/>
    <s v="6/16/2024"/>
    <x v="0"/>
    <n v="2715"/>
    <n v="5649"/>
    <n v="3.53"/>
    <n v="0"/>
  </r>
  <r>
    <s v="S1155"/>
    <x v="155"/>
    <x v="0"/>
    <x v="1"/>
    <s v="3/15/2023"/>
    <x v="0"/>
    <n v="13742"/>
    <n v="7678"/>
    <n v="2.35"/>
    <n v="38"/>
  </r>
  <r>
    <s v="S1156"/>
    <x v="156"/>
    <x v="5"/>
    <x v="3"/>
    <d v="2022-12-05T00:00:00"/>
    <x v="1"/>
    <n v="3617"/>
    <n v="3075"/>
    <n v="2.81"/>
    <n v="5"/>
  </r>
  <r>
    <s v="S1157"/>
    <x v="157"/>
    <x v="0"/>
    <x v="2"/>
    <s v="5/25/2022"/>
    <x v="1"/>
    <n v="13091"/>
    <n v="8135"/>
    <n v="3.49"/>
    <n v="0"/>
  </r>
  <r>
    <s v="S1158"/>
    <x v="158"/>
    <x v="4"/>
    <x v="1"/>
    <s v="2/26/2024"/>
    <x v="2"/>
    <n v="11936"/>
    <n v="8739"/>
    <n v="2.5299999999999998"/>
    <n v="93"/>
  </r>
  <r>
    <s v="S1159"/>
    <x v="159"/>
    <x v="0"/>
    <x v="0"/>
    <s v="2/13/2022"/>
    <x v="0"/>
    <n v="14162"/>
    <n v="7133"/>
    <n v="3.75"/>
    <n v="115"/>
  </r>
  <r>
    <s v="S1160"/>
    <x v="160"/>
    <x v="4"/>
    <x v="0"/>
    <s v="1/18/2022"/>
    <x v="0"/>
    <n v="12730"/>
    <n v="8258"/>
    <n v="3.22"/>
    <n v="99"/>
  </r>
  <r>
    <s v="S1161"/>
    <x v="161"/>
    <x v="7"/>
    <x v="1"/>
    <s v="10/14/2023"/>
    <x v="1"/>
    <n v="12837"/>
    <n v="3765"/>
    <n v="3.52"/>
    <n v="105"/>
  </r>
  <r>
    <s v="S1162"/>
    <x v="162"/>
    <x v="4"/>
    <x v="2"/>
    <d v="2023-09-04T00:00:00"/>
    <x v="2"/>
    <n v="6301"/>
    <n v="527"/>
    <n v="3.23"/>
    <n v="117"/>
  </r>
  <r>
    <s v="S1163"/>
    <x v="163"/>
    <x v="5"/>
    <x v="2"/>
    <s v="5/25/2022"/>
    <x v="0"/>
    <n v="12857"/>
    <n v="2010"/>
    <n v="2.76"/>
    <n v="4"/>
  </r>
  <r>
    <s v="S1164"/>
    <x v="164"/>
    <x v="3"/>
    <x v="0"/>
    <s v="8/30/2022"/>
    <x v="0"/>
    <n v="10432"/>
    <n v="8752"/>
    <n v="3.08"/>
    <n v="77"/>
  </r>
  <r>
    <s v="S1165"/>
    <x v="165"/>
    <x v="3"/>
    <x v="1"/>
    <d v="2022-04-10T00:00:00"/>
    <x v="1"/>
    <n v="11825"/>
    <n v="9226"/>
    <n v="3.93"/>
    <n v="43"/>
  </r>
  <r>
    <s v="S1166"/>
    <x v="166"/>
    <x v="1"/>
    <x v="3"/>
    <d v="2023-02-12T00:00:00"/>
    <x v="0"/>
    <n v="3474"/>
    <n v="3909"/>
    <n v="3.89"/>
    <n v="111"/>
  </r>
  <r>
    <s v="S1167"/>
    <x v="167"/>
    <x v="2"/>
    <x v="0"/>
    <s v="1/22/2022"/>
    <x v="1"/>
    <n v="14567"/>
    <n v="6117"/>
    <n v="2.2400000000000002"/>
    <n v="9"/>
  </r>
  <r>
    <s v="S1168"/>
    <x v="168"/>
    <x v="6"/>
    <x v="2"/>
    <d v="2023-07-01T00:00:00"/>
    <x v="0"/>
    <n v="12381"/>
    <n v="5712"/>
    <n v="2.57"/>
    <n v="104"/>
  </r>
  <r>
    <s v="S1169"/>
    <x v="169"/>
    <x v="1"/>
    <x v="1"/>
    <d v="2024-04-04T00:00:00"/>
    <x v="0"/>
    <n v="14324"/>
    <n v="3842"/>
    <n v="3.29"/>
    <n v="36"/>
  </r>
  <r>
    <s v="S1170"/>
    <x v="170"/>
    <x v="4"/>
    <x v="3"/>
    <s v="9/19/2023"/>
    <x v="0"/>
    <n v="12649"/>
    <n v="5633"/>
    <n v="2.2999999999999998"/>
    <n v="77"/>
  </r>
  <r>
    <s v="S1171"/>
    <x v="171"/>
    <x v="3"/>
    <x v="0"/>
    <s v="12/22/2023"/>
    <x v="1"/>
    <n v="14074"/>
    <n v="6861"/>
    <n v="3.43"/>
    <n v="82"/>
  </r>
  <r>
    <s v="S1172"/>
    <x v="172"/>
    <x v="0"/>
    <x v="3"/>
    <d v="2024-05-02T00:00:00"/>
    <x v="1"/>
    <n v="3427"/>
    <n v="4126"/>
    <n v="3.35"/>
    <n v="24"/>
  </r>
  <r>
    <s v="S1173"/>
    <x v="173"/>
    <x v="1"/>
    <x v="0"/>
    <s v="1/27/2022"/>
    <x v="0"/>
    <n v="12397"/>
    <n v="1786"/>
    <n v="3.54"/>
    <n v="60"/>
  </r>
  <r>
    <s v="S1174"/>
    <x v="174"/>
    <x v="3"/>
    <x v="1"/>
    <s v="4/17/2022"/>
    <x v="2"/>
    <n v="6795"/>
    <n v="8202"/>
    <n v="2.66"/>
    <n v="64"/>
  </r>
  <r>
    <s v="S1175"/>
    <x v="175"/>
    <x v="4"/>
    <x v="3"/>
    <s v="5/19/2022"/>
    <x v="1"/>
    <n v="8638"/>
    <n v="9153"/>
    <n v="3.5"/>
    <n v="113"/>
  </r>
  <r>
    <s v="S1176"/>
    <x v="176"/>
    <x v="1"/>
    <x v="1"/>
    <s v="1/30/2023"/>
    <x v="2"/>
    <n v="7115"/>
    <n v="4495"/>
    <n v="2.46"/>
    <n v="113"/>
  </r>
  <r>
    <s v="S1177"/>
    <x v="177"/>
    <x v="7"/>
    <x v="3"/>
    <d v="2022-03-07T00:00:00"/>
    <x v="1"/>
    <n v="9350"/>
    <n v="9475"/>
    <n v="2.27"/>
    <n v="42"/>
  </r>
  <r>
    <s v="S1178"/>
    <x v="178"/>
    <x v="4"/>
    <x v="3"/>
    <d v="2023-11-11T00:00:00"/>
    <x v="0"/>
    <n v="9814"/>
    <n v="5383"/>
    <n v="3.3"/>
    <n v="26"/>
  </r>
  <r>
    <s v="S1179"/>
    <x v="179"/>
    <x v="5"/>
    <x v="1"/>
    <s v="3/27/2024"/>
    <x v="1"/>
    <n v="3206"/>
    <n v="3995"/>
    <n v="2.2200000000000002"/>
    <n v="76"/>
  </r>
  <r>
    <s v="S1180"/>
    <x v="180"/>
    <x v="3"/>
    <x v="1"/>
    <d v="2023-08-10T00:00:00"/>
    <x v="0"/>
    <n v="3198"/>
    <n v="3690"/>
    <n v="2.64"/>
    <n v="69"/>
  </r>
  <r>
    <s v="S1181"/>
    <x v="181"/>
    <x v="5"/>
    <x v="1"/>
    <s v="7/19/2022"/>
    <x v="0"/>
    <n v="2972"/>
    <n v="2721"/>
    <n v="3.6"/>
    <n v="24"/>
  </r>
  <r>
    <s v="S1182"/>
    <x v="182"/>
    <x v="1"/>
    <x v="0"/>
    <d v="2024-05-02T00:00:00"/>
    <x v="0"/>
    <n v="8985"/>
    <n v="1826"/>
    <n v="2.1"/>
    <n v="9"/>
  </r>
  <r>
    <s v="S1183"/>
    <x v="183"/>
    <x v="4"/>
    <x v="0"/>
    <d v="2023-08-01T00:00:00"/>
    <x v="0"/>
    <n v="8434"/>
    <n v="5655"/>
    <n v="3.62"/>
    <n v="50"/>
  </r>
  <r>
    <s v="S1184"/>
    <x v="184"/>
    <x v="7"/>
    <x v="0"/>
    <d v="2024-07-04T00:00:00"/>
    <x v="2"/>
    <n v="8637"/>
    <n v="6872"/>
    <n v="2.02"/>
    <n v="2"/>
  </r>
  <r>
    <s v="S1185"/>
    <x v="185"/>
    <x v="2"/>
    <x v="0"/>
    <s v="1/21/2022"/>
    <x v="0"/>
    <n v="7498"/>
    <n v="3801"/>
    <n v="2.66"/>
    <n v="61"/>
  </r>
  <r>
    <s v="S1186"/>
    <x v="186"/>
    <x v="6"/>
    <x v="0"/>
    <s v="8/24/2022"/>
    <x v="0"/>
    <n v="8592"/>
    <n v="2399"/>
    <n v="2.95"/>
    <n v="113"/>
  </r>
  <r>
    <s v="S1187"/>
    <x v="187"/>
    <x v="0"/>
    <x v="1"/>
    <d v="2023-09-01T00:00:00"/>
    <x v="0"/>
    <n v="13019"/>
    <n v="9320"/>
    <n v="3.4"/>
    <n v="5"/>
  </r>
  <r>
    <s v="S1188"/>
    <x v="188"/>
    <x v="4"/>
    <x v="3"/>
    <d v="2024-11-02T00:00:00"/>
    <x v="0"/>
    <n v="4919"/>
    <n v="1822"/>
    <n v="2.46"/>
    <n v="38"/>
  </r>
  <r>
    <s v="S1189"/>
    <x v="189"/>
    <x v="1"/>
    <x v="3"/>
    <s v="4/22/2023"/>
    <x v="0"/>
    <n v="2581"/>
    <n v="8966"/>
    <n v="3.75"/>
    <n v="22"/>
  </r>
  <r>
    <s v="S1190"/>
    <x v="190"/>
    <x v="6"/>
    <x v="2"/>
    <s v="3/15/2023"/>
    <x v="0"/>
    <n v="7675"/>
    <n v="2892"/>
    <n v="3.24"/>
    <n v="62"/>
  </r>
  <r>
    <s v="S1191"/>
    <x v="191"/>
    <x v="4"/>
    <x v="1"/>
    <s v="4/20/2023"/>
    <x v="0"/>
    <n v="3222"/>
    <n v="2025"/>
    <n v="2.38"/>
    <n v="6"/>
  </r>
  <r>
    <s v="S1192"/>
    <x v="192"/>
    <x v="1"/>
    <x v="1"/>
    <s v="2/14/2022"/>
    <x v="0"/>
    <n v="14952"/>
    <n v="2236"/>
    <n v="2.34"/>
    <n v="77"/>
  </r>
  <r>
    <s v="S1193"/>
    <x v="193"/>
    <x v="1"/>
    <x v="0"/>
    <s v="4/27/2022"/>
    <x v="0"/>
    <n v="2577"/>
    <n v="8811"/>
    <n v="3.43"/>
    <n v="99"/>
  </r>
  <r>
    <s v="S1194"/>
    <x v="194"/>
    <x v="7"/>
    <x v="2"/>
    <s v="10/27/2022"/>
    <x v="2"/>
    <n v="8254"/>
    <n v="1754"/>
    <n v="3.3"/>
    <n v="97"/>
  </r>
  <r>
    <s v="S1195"/>
    <x v="195"/>
    <x v="5"/>
    <x v="2"/>
    <s v="3/17/2024"/>
    <x v="2"/>
    <n v="3770"/>
    <n v="4072"/>
    <n v="2.73"/>
    <n v="23"/>
  </r>
  <r>
    <s v="S1196"/>
    <x v="196"/>
    <x v="2"/>
    <x v="1"/>
    <s v="2/21/2022"/>
    <x v="0"/>
    <n v="8294"/>
    <n v="3336"/>
    <n v="2.5099999999999998"/>
    <n v="80"/>
  </r>
  <r>
    <s v="S1197"/>
    <x v="197"/>
    <x v="4"/>
    <x v="2"/>
    <s v="4/29/2022"/>
    <x v="0"/>
    <n v="11110"/>
    <n v="5912"/>
    <n v="2.83"/>
    <n v="93"/>
  </r>
  <r>
    <s v="S1198"/>
    <x v="198"/>
    <x v="4"/>
    <x v="3"/>
    <s v="4/15/2023"/>
    <x v="0"/>
    <n v="4826"/>
    <n v="9578"/>
    <n v="3.3"/>
    <n v="48"/>
  </r>
  <r>
    <s v="S1199"/>
    <x v="199"/>
    <x v="3"/>
    <x v="3"/>
    <d v="2022-08-01T00:00:00"/>
    <x v="0"/>
    <n v="9328"/>
    <n v="5482"/>
    <n v="2.5099999999999998"/>
    <n v="78"/>
  </r>
  <r>
    <s v="S1200"/>
    <x v="200"/>
    <x v="2"/>
    <x v="3"/>
    <d v="2023-03-11T00:00:00"/>
    <x v="1"/>
    <n v="10414"/>
    <n v="3254"/>
    <n v="2.36"/>
    <n v="48"/>
  </r>
  <r>
    <s v="S1201"/>
    <x v="201"/>
    <x v="6"/>
    <x v="3"/>
    <d v="2022-09-09T00:00:00"/>
    <x v="0"/>
    <n v="5868"/>
    <n v="3160"/>
    <n v="3.33"/>
    <n v="47"/>
  </r>
  <r>
    <s v="S1202"/>
    <x v="202"/>
    <x v="3"/>
    <x v="0"/>
    <d v="2023-10-05T00:00:00"/>
    <x v="0"/>
    <n v="13500"/>
    <n v="3151"/>
    <n v="2.34"/>
    <n v="114"/>
  </r>
  <r>
    <s v="S1203"/>
    <x v="203"/>
    <x v="2"/>
    <x v="2"/>
    <s v="11/30/2022"/>
    <x v="0"/>
    <n v="5931"/>
    <n v="8777"/>
    <n v="3.86"/>
    <n v="31"/>
  </r>
  <r>
    <s v="S1204"/>
    <x v="204"/>
    <x v="0"/>
    <x v="1"/>
    <d v="2024-11-06T00:00:00"/>
    <x v="1"/>
    <n v="9066"/>
    <n v="7848"/>
    <n v="2.21"/>
    <n v="26"/>
  </r>
  <r>
    <s v="S1205"/>
    <x v="205"/>
    <x v="1"/>
    <x v="0"/>
    <s v="6/18/2022"/>
    <x v="0"/>
    <n v="7462"/>
    <n v="1641"/>
    <n v="3.01"/>
    <n v="72"/>
  </r>
  <r>
    <s v="S1206"/>
    <x v="206"/>
    <x v="4"/>
    <x v="3"/>
    <s v="8/25/2023"/>
    <x v="0"/>
    <n v="13915"/>
    <n v="3698"/>
    <n v="3"/>
    <n v="79"/>
  </r>
  <r>
    <s v="S1207"/>
    <x v="207"/>
    <x v="2"/>
    <x v="3"/>
    <d v="2022-02-05T00:00:00"/>
    <x v="1"/>
    <n v="10682"/>
    <n v="3998"/>
    <n v="2.58"/>
    <n v="34"/>
  </r>
  <r>
    <s v="S1208"/>
    <x v="208"/>
    <x v="2"/>
    <x v="0"/>
    <d v="2022-04-01T00:00:00"/>
    <x v="0"/>
    <n v="7804"/>
    <n v="1458"/>
    <n v="3.63"/>
    <n v="68"/>
  </r>
  <r>
    <s v="S1209"/>
    <x v="209"/>
    <x v="5"/>
    <x v="0"/>
    <s v="5/21/2024"/>
    <x v="1"/>
    <n v="14208"/>
    <n v="1610"/>
    <n v="2.4"/>
    <n v="64"/>
  </r>
  <r>
    <s v="S1210"/>
    <x v="210"/>
    <x v="2"/>
    <x v="1"/>
    <s v="4/18/2024"/>
    <x v="2"/>
    <n v="10912"/>
    <n v="7036"/>
    <n v="2.34"/>
    <n v="43"/>
  </r>
  <r>
    <s v="S1211"/>
    <x v="211"/>
    <x v="1"/>
    <x v="0"/>
    <d v="2023-01-11T00:00:00"/>
    <x v="0"/>
    <n v="4292"/>
    <n v="5770"/>
    <n v="3.5"/>
    <n v="96"/>
  </r>
  <r>
    <s v="S1212"/>
    <x v="212"/>
    <x v="4"/>
    <x v="2"/>
    <s v="11/15/2023"/>
    <x v="1"/>
    <n v="13557"/>
    <n v="7162"/>
    <n v="2.0299999999999998"/>
    <n v="111"/>
  </r>
  <r>
    <s v="S1213"/>
    <x v="213"/>
    <x v="1"/>
    <x v="3"/>
    <d v="2023-06-09T00:00:00"/>
    <x v="1"/>
    <n v="9626"/>
    <n v="5195"/>
    <n v="3.38"/>
    <n v="17"/>
  </r>
  <r>
    <s v="S1214"/>
    <x v="214"/>
    <x v="0"/>
    <x v="0"/>
    <s v="8/19/2023"/>
    <x v="0"/>
    <n v="13924"/>
    <n v="919"/>
    <n v="2.89"/>
    <n v="108"/>
  </r>
  <r>
    <s v="S1215"/>
    <x v="215"/>
    <x v="1"/>
    <x v="3"/>
    <s v="8/29/2022"/>
    <x v="0"/>
    <n v="11491"/>
    <n v="8965"/>
    <n v="2.95"/>
    <n v="5"/>
  </r>
  <r>
    <s v="S1216"/>
    <x v="216"/>
    <x v="7"/>
    <x v="1"/>
    <d v="2024-06-04T00:00:00"/>
    <x v="0"/>
    <n v="3781"/>
    <n v="4601"/>
    <n v="3.36"/>
    <n v="6"/>
  </r>
  <r>
    <s v="S1217"/>
    <x v="217"/>
    <x v="1"/>
    <x v="3"/>
    <s v="11/22/2023"/>
    <x v="1"/>
    <n v="12986"/>
    <n v="7952"/>
    <n v="2.85"/>
    <n v="90"/>
  </r>
  <r>
    <s v="S1218"/>
    <x v="218"/>
    <x v="7"/>
    <x v="0"/>
    <d v="2022-07-06T00:00:00"/>
    <x v="0"/>
    <n v="5785"/>
    <n v="8652"/>
    <n v="3.75"/>
    <n v="96"/>
  </r>
  <r>
    <s v="S1219"/>
    <x v="219"/>
    <x v="1"/>
    <x v="3"/>
    <s v="12/29/2022"/>
    <x v="0"/>
    <n v="6786"/>
    <n v="6481"/>
    <n v="2.57"/>
    <n v="28"/>
  </r>
  <r>
    <s v="S1220"/>
    <x v="220"/>
    <x v="4"/>
    <x v="2"/>
    <d v="2022-09-10T00:00:00"/>
    <x v="0"/>
    <n v="6615"/>
    <n v="199"/>
    <n v="2.04"/>
    <n v="38"/>
  </r>
  <r>
    <s v="S1221"/>
    <x v="221"/>
    <x v="6"/>
    <x v="1"/>
    <d v="2024-06-06T00:00:00"/>
    <x v="0"/>
    <n v="9625"/>
    <n v="8374"/>
    <n v="3.69"/>
    <n v="6"/>
  </r>
  <r>
    <s v="S1222"/>
    <x v="222"/>
    <x v="7"/>
    <x v="3"/>
    <s v="9/23/2023"/>
    <x v="0"/>
    <n v="13304"/>
    <n v="6463"/>
    <n v="3.24"/>
    <n v="96"/>
  </r>
  <r>
    <s v="S1223"/>
    <x v="223"/>
    <x v="6"/>
    <x v="0"/>
    <d v="2023-09-07T00:00:00"/>
    <x v="0"/>
    <n v="4559"/>
    <n v="385"/>
    <n v="3.67"/>
    <n v="105"/>
  </r>
  <r>
    <s v="S1224"/>
    <x v="224"/>
    <x v="7"/>
    <x v="2"/>
    <d v="2022-04-08T00:00:00"/>
    <x v="0"/>
    <n v="4418"/>
    <n v="295"/>
    <n v="2.12"/>
    <n v="65"/>
  </r>
  <r>
    <s v="S1225"/>
    <x v="225"/>
    <x v="4"/>
    <x v="1"/>
    <d v="2022-08-10T00:00:00"/>
    <x v="0"/>
    <n v="11433"/>
    <n v="5463"/>
    <n v="2.87"/>
    <n v="55"/>
  </r>
  <r>
    <s v="S1226"/>
    <x v="226"/>
    <x v="4"/>
    <x v="3"/>
    <d v="2023-11-08T00:00:00"/>
    <x v="0"/>
    <n v="10920"/>
    <n v="1855"/>
    <n v="2.5299999999999998"/>
    <n v="35"/>
  </r>
  <r>
    <s v="S1227"/>
    <x v="227"/>
    <x v="5"/>
    <x v="0"/>
    <s v="3/24/2022"/>
    <x v="1"/>
    <n v="7532"/>
    <n v="5770"/>
    <n v="2.84"/>
    <n v="53"/>
  </r>
  <r>
    <s v="S1228"/>
    <x v="228"/>
    <x v="4"/>
    <x v="3"/>
    <s v="10/27/2023"/>
    <x v="0"/>
    <n v="4365"/>
    <n v="9361"/>
    <n v="3.09"/>
    <n v="24"/>
  </r>
  <r>
    <s v="S1229"/>
    <x v="229"/>
    <x v="6"/>
    <x v="0"/>
    <d v="2022-07-01T00:00:00"/>
    <x v="1"/>
    <n v="8437"/>
    <n v="5207"/>
    <n v="2.61"/>
    <n v="78"/>
  </r>
  <r>
    <s v="S1230"/>
    <x v="230"/>
    <x v="6"/>
    <x v="3"/>
    <s v="2/28/2023"/>
    <x v="0"/>
    <n v="8696"/>
    <n v="684"/>
    <n v="2.88"/>
    <n v="83"/>
  </r>
  <r>
    <s v="S1231"/>
    <x v="231"/>
    <x v="2"/>
    <x v="3"/>
    <d v="2022-01-05T00:00:00"/>
    <x v="1"/>
    <n v="11639"/>
    <n v="4226"/>
    <n v="3.24"/>
    <n v="43"/>
  </r>
  <r>
    <s v="S1232"/>
    <x v="232"/>
    <x v="4"/>
    <x v="1"/>
    <s v="12/20/2023"/>
    <x v="1"/>
    <n v="14104"/>
    <n v="7961"/>
    <n v="3.12"/>
    <n v="119"/>
  </r>
  <r>
    <s v="S1233"/>
    <x v="233"/>
    <x v="3"/>
    <x v="1"/>
    <d v="2023-12-09T00:00:00"/>
    <x v="2"/>
    <n v="8577"/>
    <n v="1188"/>
    <n v="2.21"/>
    <n v="47"/>
  </r>
  <r>
    <s v="S1234"/>
    <x v="234"/>
    <x v="3"/>
    <x v="0"/>
    <s v="1/29/2023"/>
    <x v="1"/>
    <n v="9465"/>
    <n v="4415"/>
    <n v="2.44"/>
    <n v="62"/>
  </r>
  <r>
    <s v="S1235"/>
    <x v="235"/>
    <x v="7"/>
    <x v="0"/>
    <s v="6/24/2022"/>
    <x v="0"/>
    <n v="11825"/>
    <n v="1060"/>
    <n v="2.14"/>
    <n v="90"/>
  </r>
  <r>
    <s v="S1236"/>
    <x v="236"/>
    <x v="7"/>
    <x v="3"/>
    <d v="2023-08-12T00:00:00"/>
    <x v="0"/>
    <n v="12026"/>
    <n v="5856"/>
    <n v="3.64"/>
    <n v="15"/>
  </r>
  <r>
    <s v="S1237"/>
    <x v="237"/>
    <x v="5"/>
    <x v="0"/>
    <d v="2023-09-05T00:00:00"/>
    <x v="0"/>
    <n v="12137"/>
    <n v="8974"/>
    <n v="3.33"/>
    <n v="59"/>
  </r>
  <r>
    <s v="S1238"/>
    <x v="238"/>
    <x v="6"/>
    <x v="1"/>
    <s v="1/25/2024"/>
    <x v="0"/>
    <n v="13153"/>
    <n v="7899"/>
    <n v="3.35"/>
    <n v="4"/>
  </r>
  <r>
    <s v="S1239"/>
    <x v="239"/>
    <x v="6"/>
    <x v="2"/>
    <s v="3/26/2024"/>
    <x v="0"/>
    <n v="8445"/>
    <n v="5645"/>
    <n v="2.66"/>
    <n v="106"/>
  </r>
  <r>
    <s v="S1240"/>
    <x v="240"/>
    <x v="3"/>
    <x v="3"/>
    <s v="10/13/2022"/>
    <x v="1"/>
    <n v="6582"/>
    <n v="7383"/>
    <n v="2.9"/>
    <n v="68"/>
  </r>
  <r>
    <s v="S1241"/>
    <x v="241"/>
    <x v="5"/>
    <x v="3"/>
    <d v="2023-10-04T00:00:00"/>
    <x v="1"/>
    <n v="9924"/>
    <n v="4822"/>
    <n v="2.79"/>
    <n v="25"/>
  </r>
  <r>
    <s v="S1242"/>
    <x v="242"/>
    <x v="5"/>
    <x v="0"/>
    <d v="2024-01-01T00:00:00"/>
    <x v="1"/>
    <n v="9436"/>
    <n v="3767"/>
    <n v="2.27"/>
    <n v="69"/>
  </r>
  <r>
    <s v="S1243"/>
    <x v="243"/>
    <x v="4"/>
    <x v="2"/>
    <s v="2/25/2023"/>
    <x v="0"/>
    <n v="11021"/>
    <n v="1197"/>
    <n v="2.08"/>
    <n v="13"/>
  </r>
  <r>
    <s v="S1244"/>
    <x v="244"/>
    <x v="1"/>
    <x v="3"/>
    <d v="2023-09-08T00:00:00"/>
    <x v="2"/>
    <n v="5204"/>
    <n v="3851"/>
    <n v="2.2799999999999998"/>
    <n v="29"/>
  </r>
  <r>
    <s v="S1245"/>
    <x v="245"/>
    <x v="1"/>
    <x v="3"/>
    <d v="2024-11-05T00:00:00"/>
    <x v="0"/>
    <n v="2031"/>
    <n v="9223"/>
    <n v="2.78"/>
    <n v="49"/>
  </r>
  <r>
    <s v="S1246"/>
    <x v="246"/>
    <x v="5"/>
    <x v="3"/>
    <d v="2024-12-02T00:00:00"/>
    <x v="0"/>
    <n v="9136"/>
    <n v="9130"/>
    <n v="2.15"/>
    <n v="53"/>
  </r>
  <r>
    <s v="S1247"/>
    <x v="247"/>
    <x v="4"/>
    <x v="3"/>
    <s v="11/29/2022"/>
    <x v="0"/>
    <n v="7624"/>
    <n v="2182"/>
    <n v="2.35"/>
    <n v="21"/>
  </r>
  <r>
    <s v="S1248"/>
    <x v="248"/>
    <x v="6"/>
    <x v="1"/>
    <s v="7/30/2023"/>
    <x v="0"/>
    <n v="14896"/>
    <n v="7193"/>
    <n v="2.99"/>
    <n v="19"/>
  </r>
  <r>
    <s v="S1249"/>
    <x v="249"/>
    <x v="2"/>
    <x v="1"/>
    <s v="1/16/2023"/>
    <x v="0"/>
    <n v="9944"/>
    <n v="1801"/>
    <n v="2.2000000000000002"/>
    <n v="74"/>
  </r>
  <r>
    <s v="S1250"/>
    <x v="250"/>
    <x v="0"/>
    <x v="3"/>
    <d v="2024-09-04T00:00:00"/>
    <x v="0"/>
    <n v="4101"/>
    <n v="6124"/>
    <n v="2.59"/>
    <n v="77"/>
  </r>
  <r>
    <s v="S1251"/>
    <x v="251"/>
    <x v="4"/>
    <x v="0"/>
    <s v="3/31/2023"/>
    <x v="0"/>
    <n v="2923"/>
    <n v="6728"/>
    <n v="3.9"/>
    <n v="116"/>
  </r>
  <r>
    <s v="S1252"/>
    <x v="252"/>
    <x v="0"/>
    <x v="2"/>
    <s v="6/13/2022"/>
    <x v="0"/>
    <n v="6135"/>
    <n v="4716"/>
    <n v="2.1800000000000002"/>
    <n v="52"/>
  </r>
  <r>
    <s v="S1253"/>
    <x v="253"/>
    <x v="6"/>
    <x v="3"/>
    <d v="2023-07-06T00:00:00"/>
    <x v="2"/>
    <n v="5429"/>
    <n v="7603"/>
    <n v="2.35"/>
    <n v="18"/>
  </r>
  <r>
    <s v="S1254"/>
    <x v="254"/>
    <x v="4"/>
    <x v="3"/>
    <s v="2/18/2024"/>
    <x v="0"/>
    <n v="9722"/>
    <n v="9487"/>
    <n v="3.38"/>
    <n v="35"/>
  </r>
  <r>
    <s v="S1255"/>
    <x v="255"/>
    <x v="0"/>
    <x v="2"/>
    <s v="1/24/2022"/>
    <x v="0"/>
    <n v="8231"/>
    <n v="7185"/>
    <n v="2.23"/>
    <n v="106"/>
  </r>
  <r>
    <s v="S1256"/>
    <x v="256"/>
    <x v="3"/>
    <x v="0"/>
    <s v="9/20/2023"/>
    <x v="0"/>
    <n v="6740"/>
    <n v="1446"/>
    <n v="3.06"/>
    <n v="88"/>
  </r>
  <r>
    <s v="S1257"/>
    <x v="257"/>
    <x v="6"/>
    <x v="2"/>
    <s v="10/23/2022"/>
    <x v="1"/>
    <n v="3472"/>
    <n v="7647"/>
    <n v="2.27"/>
    <n v="70"/>
  </r>
  <r>
    <s v="S1258"/>
    <x v="258"/>
    <x v="4"/>
    <x v="2"/>
    <d v="2024-10-03T00:00:00"/>
    <x v="2"/>
    <n v="14136"/>
    <n v="1781"/>
    <n v="2.06"/>
    <n v="81"/>
  </r>
  <r>
    <s v="S1259"/>
    <x v="259"/>
    <x v="6"/>
    <x v="0"/>
    <d v="2023-11-01T00:00:00"/>
    <x v="1"/>
    <n v="8110"/>
    <n v="2427"/>
    <n v="3.44"/>
    <n v="55"/>
  </r>
  <r>
    <s v="S1260"/>
    <x v="260"/>
    <x v="4"/>
    <x v="1"/>
    <d v="2023-10-03T00:00:00"/>
    <x v="1"/>
    <n v="4090"/>
    <n v="1536"/>
    <n v="2.95"/>
    <n v="60"/>
  </r>
  <r>
    <s v="S1261"/>
    <x v="261"/>
    <x v="5"/>
    <x v="0"/>
    <s v="1/26/2023"/>
    <x v="0"/>
    <n v="2654"/>
    <n v="1494"/>
    <n v="3.44"/>
    <n v="78"/>
  </r>
  <r>
    <s v="S1262"/>
    <x v="262"/>
    <x v="0"/>
    <x v="3"/>
    <s v="12/16/2023"/>
    <x v="0"/>
    <n v="14036"/>
    <n v="9481"/>
    <n v="3.17"/>
    <n v="85"/>
  </r>
  <r>
    <s v="S1263"/>
    <x v="263"/>
    <x v="0"/>
    <x v="2"/>
    <s v="2/27/2022"/>
    <x v="1"/>
    <n v="9912"/>
    <n v="9447"/>
    <n v="2.11"/>
    <n v="10"/>
  </r>
  <r>
    <s v="S1264"/>
    <x v="264"/>
    <x v="3"/>
    <x v="0"/>
    <s v="12/27/2022"/>
    <x v="1"/>
    <n v="6111"/>
    <n v="1558"/>
    <n v="2.2200000000000002"/>
    <n v="48"/>
  </r>
  <r>
    <s v="S1265"/>
    <x v="265"/>
    <x v="3"/>
    <x v="3"/>
    <d v="2024-09-03T00:00:00"/>
    <x v="0"/>
    <n v="12375"/>
    <n v="1292"/>
    <n v="2.54"/>
    <n v="40"/>
  </r>
  <r>
    <s v="S1266"/>
    <x v="266"/>
    <x v="6"/>
    <x v="1"/>
    <d v="2022-11-12T00:00:00"/>
    <x v="0"/>
    <n v="5864"/>
    <n v="3943"/>
    <n v="3.14"/>
    <n v="79"/>
  </r>
  <r>
    <s v="S1267"/>
    <x v="267"/>
    <x v="3"/>
    <x v="0"/>
    <s v="3/17/2022"/>
    <x v="0"/>
    <n v="14547"/>
    <n v="4922"/>
    <n v="3.06"/>
    <n v="67"/>
  </r>
  <r>
    <s v="S1268"/>
    <x v="268"/>
    <x v="4"/>
    <x v="0"/>
    <s v="3/27/2022"/>
    <x v="1"/>
    <n v="12862"/>
    <n v="6663"/>
    <n v="3.69"/>
    <n v="85"/>
  </r>
  <r>
    <s v="S1269"/>
    <x v="269"/>
    <x v="2"/>
    <x v="0"/>
    <d v="2023-04-11T00:00:00"/>
    <x v="0"/>
    <n v="3181"/>
    <n v="2030"/>
    <n v="2.2200000000000002"/>
    <n v="110"/>
  </r>
  <r>
    <s v="S1270"/>
    <x v="270"/>
    <x v="1"/>
    <x v="3"/>
    <s v="7/17/2022"/>
    <x v="1"/>
    <n v="7961"/>
    <n v="6424"/>
    <n v="3.69"/>
    <n v="12"/>
  </r>
  <r>
    <s v="S1271"/>
    <x v="271"/>
    <x v="6"/>
    <x v="1"/>
    <s v="12/14/2022"/>
    <x v="1"/>
    <n v="3134"/>
    <n v="313"/>
    <n v="2.02"/>
    <n v="112"/>
  </r>
  <r>
    <s v="S1272"/>
    <x v="272"/>
    <x v="7"/>
    <x v="1"/>
    <s v="5/14/2023"/>
    <x v="1"/>
    <n v="13777"/>
    <n v="8538"/>
    <n v="3.35"/>
    <n v="22"/>
  </r>
  <r>
    <s v="S1273"/>
    <x v="273"/>
    <x v="7"/>
    <x v="0"/>
    <d v="2024-05-04T00:00:00"/>
    <x v="0"/>
    <n v="13439"/>
    <n v="2405"/>
    <n v="2.5099999999999998"/>
    <n v="104"/>
  </r>
  <r>
    <s v="S1274"/>
    <x v="274"/>
    <x v="6"/>
    <x v="1"/>
    <s v="1/18/2023"/>
    <x v="1"/>
    <n v="7518"/>
    <n v="6229"/>
    <n v="3.59"/>
    <n v="48"/>
  </r>
  <r>
    <s v="S1275"/>
    <x v="275"/>
    <x v="5"/>
    <x v="2"/>
    <s v="5/27/2023"/>
    <x v="0"/>
    <n v="13408"/>
    <n v="4476"/>
    <n v="2.15"/>
    <n v="22"/>
  </r>
  <r>
    <s v="S1276"/>
    <x v="276"/>
    <x v="0"/>
    <x v="0"/>
    <d v="2024-07-06T00:00:00"/>
    <x v="0"/>
    <n v="8007"/>
    <n v="9251"/>
    <n v="2.42"/>
    <n v="37"/>
  </r>
  <r>
    <s v="S1277"/>
    <x v="277"/>
    <x v="0"/>
    <x v="3"/>
    <s v="9/14/2023"/>
    <x v="1"/>
    <n v="9757"/>
    <n v="7770"/>
    <n v="3.36"/>
    <n v="103"/>
  </r>
  <r>
    <s v="S1278"/>
    <x v="278"/>
    <x v="3"/>
    <x v="3"/>
    <d v="2023-04-03T00:00:00"/>
    <x v="1"/>
    <n v="5923"/>
    <n v="8679"/>
    <n v="2.2799999999999998"/>
    <n v="65"/>
  </r>
  <r>
    <s v="S1279"/>
    <x v="279"/>
    <x v="6"/>
    <x v="2"/>
    <d v="2023-11-10T00:00:00"/>
    <x v="1"/>
    <n v="11940"/>
    <n v="9530"/>
    <n v="2.02"/>
    <n v="30"/>
  </r>
  <r>
    <s v="S1280"/>
    <x v="280"/>
    <x v="5"/>
    <x v="0"/>
    <s v="8/17/2023"/>
    <x v="1"/>
    <n v="12216"/>
    <n v="8265"/>
    <n v="3.42"/>
    <n v="5"/>
  </r>
  <r>
    <s v="S1281"/>
    <x v="281"/>
    <x v="6"/>
    <x v="2"/>
    <s v="12/15/2022"/>
    <x v="0"/>
    <n v="8332"/>
    <n v="4580"/>
    <n v="2.6"/>
    <n v="53"/>
  </r>
  <r>
    <s v="S1282"/>
    <x v="282"/>
    <x v="6"/>
    <x v="2"/>
    <d v="2022-04-11T00:00:00"/>
    <x v="0"/>
    <n v="8893"/>
    <n v="6924"/>
    <n v="3.7"/>
    <n v="51"/>
  </r>
  <r>
    <s v="S1283"/>
    <x v="283"/>
    <x v="4"/>
    <x v="2"/>
    <s v="6/13/2022"/>
    <x v="2"/>
    <n v="9981"/>
    <n v="2190"/>
    <n v="2.12"/>
    <n v="53"/>
  </r>
  <r>
    <s v="S1284"/>
    <x v="284"/>
    <x v="2"/>
    <x v="2"/>
    <s v="11/24/2023"/>
    <x v="1"/>
    <n v="9881"/>
    <n v="561"/>
    <n v="2.93"/>
    <n v="90"/>
  </r>
  <r>
    <s v="S1285"/>
    <x v="285"/>
    <x v="0"/>
    <x v="0"/>
    <d v="2023-09-09T00:00:00"/>
    <x v="0"/>
    <n v="2709"/>
    <n v="4201"/>
    <n v="2.2599999999999998"/>
    <n v="50"/>
  </r>
  <r>
    <s v="S1286"/>
    <x v="286"/>
    <x v="1"/>
    <x v="2"/>
    <s v="1/19/2022"/>
    <x v="0"/>
    <n v="11935"/>
    <n v="4832"/>
    <n v="2.36"/>
    <n v="31"/>
  </r>
  <r>
    <s v="S1287"/>
    <x v="287"/>
    <x v="3"/>
    <x v="2"/>
    <d v="2024-09-06T00:00:00"/>
    <x v="0"/>
    <n v="11303"/>
    <n v="4786"/>
    <n v="2.72"/>
    <n v="60"/>
  </r>
  <r>
    <s v="S1288"/>
    <x v="288"/>
    <x v="7"/>
    <x v="3"/>
    <d v="2022-07-11T00:00:00"/>
    <x v="1"/>
    <n v="14396"/>
    <n v="4065"/>
    <n v="2.06"/>
    <n v="34"/>
  </r>
  <r>
    <s v="S1289"/>
    <x v="289"/>
    <x v="5"/>
    <x v="0"/>
    <s v="2/23/2023"/>
    <x v="1"/>
    <n v="7215"/>
    <n v="260"/>
    <n v="2.98"/>
    <n v="47"/>
  </r>
  <r>
    <s v="S1290"/>
    <x v="290"/>
    <x v="7"/>
    <x v="3"/>
    <s v="5/17/2022"/>
    <x v="0"/>
    <n v="5255"/>
    <n v="6902"/>
    <n v="3.64"/>
    <n v="86"/>
  </r>
  <r>
    <s v="S1291"/>
    <x v="291"/>
    <x v="6"/>
    <x v="0"/>
    <s v="5/21/2024"/>
    <x v="2"/>
    <n v="9805"/>
    <n v="1354"/>
    <n v="3.9"/>
    <n v="83"/>
  </r>
  <r>
    <s v="S1292"/>
    <x v="292"/>
    <x v="3"/>
    <x v="1"/>
    <d v="2023-07-01T00:00:00"/>
    <x v="1"/>
    <n v="4492"/>
    <n v="9577"/>
    <n v="3.78"/>
    <n v="58"/>
  </r>
  <r>
    <s v="S1293"/>
    <x v="293"/>
    <x v="5"/>
    <x v="3"/>
    <d v="2022-10-05T00:00:00"/>
    <x v="0"/>
    <n v="14426"/>
    <n v="9248"/>
    <n v="2.79"/>
    <n v="87"/>
  </r>
  <r>
    <s v="S1294"/>
    <x v="294"/>
    <x v="7"/>
    <x v="3"/>
    <s v="12/19/2022"/>
    <x v="1"/>
    <n v="5148"/>
    <n v="2434"/>
    <n v="3.96"/>
    <n v="32"/>
  </r>
  <r>
    <s v="S1295"/>
    <x v="295"/>
    <x v="2"/>
    <x v="1"/>
    <d v="2023-10-11T00:00:00"/>
    <x v="0"/>
    <n v="11170"/>
    <n v="7941"/>
    <n v="2.06"/>
    <n v="112"/>
  </r>
  <r>
    <s v="S1296"/>
    <x v="296"/>
    <x v="7"/>
    <x v="3"/>
    <s v="7/23/2022"/>
    <x v="0"/>
    <n v="12190"/>
    <n v="3721"/>
    <n v="3.4"/>
    <n v="5"/>
  </r>
  <r>
    <s v="S1297"/>
    <x v="297"/>
    <x v="4"/>
    <x v="3"/>
    <d v="2022-06-10T00:00:00"/>
    <x v="1"/>
    <n v="11788"/>
    <n v="6411"/>
    <n v="3.18"/>
    <n v="23"/>
  </r>
  <r>
    <s v="S1298"/>
    <x v="298"/>
    <x v="7"/>
    <x v="3"/>
    <s v="2/18/2024"/>
    <x v="0"/>
    <n v="7884"/>
    <n v="6454"/>
    <n v="2.1"/>
    <n v="40"/>
  </r>
  <r>
    <s v="S1299"/>
    <x v="299"/>
    <x v="2"/>
    <x v="2"/>
    <s v="3/26/2023"/>
    <x v="1"/>
    <n v="3515"/>
    <n v="4798"/>
    <n v="2.41"/>
    <n v="115"/>
  </r>
  <r>
    <s v="S1300"/>
    <x v="300"/>
    <x v="7"/>
    <x v="3"/>
    <s v="7/30/2022"/>
    <x v="1"/>
    <n v="11803"/>
    <n v="6022"/>
    <n v="2.94"/>
    <n v="116"/>
  </r>
  <r>
    <s v="S1301"/>
    <x v="301"/>
    <x v="2"/>
    <x v="0"/>
    <d v="2022-10-05T00:00:00"/>
    <x v="0"/>
    <n v="5515"/>
    <n v="5467"/>
    <n v="3.85"/>
    <n v="65"/>
  </r>
  <r>
    <s v="S1302"/>
    <x v="302"/>
    <x v="3"/>
    <x v="3"/>
    <d v="2022-08-09T00:00:00"/>
    <x v="0"/>
    <n v="12810"/>
    <n v="9194"/>
    <n v="3.95"/>
    <n v="58"/>
  </r>
  <r>
    <s v="S1303"/>
    <x v="303"/>
    <x v="3"/>
    <x v="2"/>
    <d v="2022-05-10T00:00:00"/>
    <x v="0"/>
    <n v="4155"/>
    <n v="4450"/>
    <n v="3.64"/>
    <n v="25"/>
  </r>
  <r>
    <s v="S1304"/>
    <x v="304"/>
    <x v="1"/>
    <x v="3"/>
    <s v="3/21/2024"/>
    <x v="0"/>
    <n v="7723"/>
    <n v="368"/>
    <n v="3.09"/>
    <n v="23"/>
  </r>
  <r>
    <s v="S1305"/>
    <x v="305"/>
    <x v="5"/>
    <x v="1"/>
    <s v="11/18/2022"/>
    <x v="1"/>
    <n v="6777"/>
    <n v="7534"/>
    <n v="2.29"/>
    <n v="47"/>
  </r>
  <r>
    <s v="S1306"/>
    <x v="306"/>
    <x v="0"/>
    <x v="0"/>
    <s v="1/23/2022"/>
    <x v="1"/>
    <n v="8267"/>
    <n v="1717"/>
    <n v="3.92"/>
    <n v="56"/>
  </r>
  <r>
    <s v="S1307"/>
    <x v="307"/>
    <x v="0"/>
    <x v="3"/>
    <s v="1/14/2023"/>
    <x v="0"/>
    <n v="9602"/>
    <n v="3213"/>
    <n v="3.51"/>
    <n v="103"/>
  </r>
  <r>
    <s v="S1308"/>
    <x v="308"/>
    <x v="2"/>
    <x v="2"/>
    <d v="2023-01-04T00:00:00"/>
    <x v="0"/>
    <n v="7771"/>
    <n v="7737"/>
    <n v="3.5"/>
    <n v="44"/>
  </r>
  <r>
    <s v="S1309"/>
    <x v="309"/>
    <x v="6"/>
    <x v="3"/>
    <s v="6/16/2022"/>
    <x v="0"/>
    <n v="6051"/>
    <n v="2238"/>
    <n v="2.88"/>
    <n v="73"/>
  </r>
  <r>
    <s v="S1310"/>
    <x v="310"/>
    <x v="2"/>
    <x v="2"/>
    <s v="5/22/2023"/>
    <x v="1"/>
    <n v="10432"/>
    <n v="3942"/>
    <n v="3.19"/>
    <n v="34"/>
  </r>
  <r>
    <s v="S1311"/>
    <x v="311"/>
    <x v="7"/>
    <x v="1"/>
    <d v="2022-05-04T00:00:00"/>
    <x v="1"/>
    <n v="13615"/>
    <n v="6143"/>
    <n v="2.2999999999999998"/>
    <n v="26"/>
  </r>
  <r>
    <s v="S1312"/>
    <x v="312"/>
    <x v="4"/>
    <x v="1"/>
    <s v="1/18/2022"/>
    <x v="0"/>
    <n v="11152"/>
    <n v="4980"/>
    <n v="2.37"/>
    <n v="27"/>
  </r>
  <r>
    <s v="S1313"/>
    <x v="313"/>
    <x v="6"/>
    <x v="2"/>
    <d v="2024-06-02T00:00:00"/>
    <x v="0"/>
    <n v="6901"/>
    <n v="9266"/>
    <n v="2.88"/>
    <n v="83"/>
  </r>
  <r>
    <s v="S1314"/>
    <x v="314"/>
    <x v="0"/>
    <x v="0"/>
    <s v="6/18/2022"/>
    <x v="0"/>
    <n v="8130"/>
    <n v="906"/>
    <n v="3.34"/>
    <n v="13"/>
  </r>
  <r>
    <s v="S1315"/>
    <x v="315"/>
    <x v="2"/>
    <x v="0"/>
    <d v="2023-08-01T00:00:00"/>
    <x v="1"/>
    <n v="3221"/>
    <n v="8857"/>
    <n v="3.67"/>
    <n v="48"/>
  </r>
  <r>
    <s v="S1316"/>
    <x v="316"/>
    <x v="1"/>
    <x v="3"/>
    <d v="2022-06-09T00:00:00"/>
    <x v="1"/>
    <n v="14917"/>
    <n v="1441"/>
    <n v="2.77"/>
    <n v="23"/>
  </r>
  <r>
    <s v="S1317"/>
    <x v="317"/>
    <x v="5"/>
    <x v="3"/>
    <s v="11/28/2022"/>
    <x v="0"/>
    <n v="12168"/>
    <n v="2071"/>
    <n v="2.75"/>
    <n v="24"/>
  </r>
  <r>
    <s v="S1318"/>
    <x v="318"/>
    <x v="6"/>
    <x v="2"/>
    <s v="6/13/2022"/>
    <x v="1"/>
    <n v="10039"/>
    <n v="458"/>
    <n v="3.26"/>
    <n v="63"/>
  </r>
  <r>
    <s v="S1319"/>
    <x v="319"/>
    <x v="6"/>
    <x v="3"/>
    <d v="2022-09-02T00:00:00"/>
    <x v="0"/>
    <n v="3870"/>
    <n v="3731"/>
    <n v="2.08"/>
    <n v="65"/>
  </r>
  <r>
    <s v="S1320"/>
    <x v="320"/>
    <x v="5"/>
    <x v="3"/>
    <d v="2022-12-11T00:00:00"/>
    <x v="1"/>
    <n v="5914"/>
    <n v="3962"/>
    <n v="2.11"/>
    <n v="71"/>
  </r>
  <r>
    <s v="S1321"/>
    <x v="321"/>
    <x v="1"/>
    <x v="3"/>
    <d v="2024-01-06T00:00:00"/>
    <x v="0"/>
    <n v="2084"/>
    <n v="5468"/>
    <n v="2.79"/>
    <n v="46"/>
  </r>
  <r>
    <s v="S1322"/>
    <x v="322"/>
    <x v="0"/>
    <x v="3"/>
    <s v="2/24/2022"/>
    <x v="0"/>
    <n v="9739"/>
    <n v="3558"/>
    <n v="3.14"/>
    <n v="50"/>
  </r>
  <r>
    <s v="S1323"/>
    <x v="323"/>
    <x v="5"/>
    <x v="1"/>
    <d v="2023-01-12T00:00:00"/>
    <x v="1"/>
    <n v="5005"/>
    <n v="5309"/>
    <n v="3.62"/>
    <n v="31"/>
  </r>
  <r>
    <s v="S1324"/>
    <x v="324"/>
    <x v="6"/>
    <x v="1"/>
    <d v="2024-06-01T00:00:00"/>
    <x v="1"/>
    <n v="5480"/>
    <n v="5300"/>
    <n v="3.52"/>
    <n v="111"/>
  </r>
  <r>
    <s v="S1325"/>
    <x v="325"/>
    <x v="2"/>
    <x v="3"/>
    <s v="3/27/2024"/>
    <x v="0"/>
    <n v="12926"/>
    <n v="1253"/>
    <n v="3.62"/>
    <n v="13"/>
  </r>
  <r>
    <s v="S1326"/>
    <x v="326"/>
    <x v="0"/>
    <x v="0"/>
    <s v="5/18/2024"/>
    <x v="2"/>
    <n v="11564"/>
    <n v="2120"/>
    <n v="2.13"/>
    <n v="68"/>
  </r>
  <r>
    <s v="S1327"/>
    <x v="327"/>
    <x v="6"/>
    <x v="3"/>
    <d v="2022-08-04T00:00:00"/>
    <x v="0"/>
    <n v="8396"/>
    <n v="5614"/>
    <n v="3.52"/>
    <n v="8"/>
  </r>
  <r>
    <s v="S1328"/>
    <x v="328"/>
    <x v="6"/>
    <x v="1"/>
    <d v="2023-12-02T00:00:00"/>
    <x v="0"/>
    <n v="10998"/>
    <n v="3502"/>
    <n v="2.02"/>
    <n v="113"/>
  </r>
  <r>
    <s v="S1329"/>
    <x v="329"/>
    <x v="4"/>
    <x v="2"/>
    <s v="1/17/2022"/>
    <x v="0"/>
    <n v="8399"/>
    <n v="1597"/>
    <n v="2.92"/>
    <n v="54"/>
  </r>
  <r>
    <s v="S1330"/>
    <x v="330"/>
    <x v="7"/>
    <x v="2"/>
    <s v="3/20/2022"/>
    <x v="0"/>
    <n v="14659"/>
    <n v="4249"/>
    <n v="3.9"/>
    <n v="4"/>
  </r>
  <r>
    <s v="S1331"/>
    <x v="331"/>
    <x v="1"/>
    <x v="1"/>
    <s v="7/25/2023"/>
    <x v="1"/>
    <n v="11038"/>
    <n v="590"/>
    <n v="2.02"/>
    <n v="16"/>
  </r>
  <r>
    <s v="S1332"/>
    <x v="332"/>
    <x v="0"/>
    <x v="0"/>
    <s v="5/29/2023"/>
    <x v="1"/>
    <n v="3155"/>
    <n v="1309"/>
    <n v="2.13"/>
    <n v="60"/>
  </r>
  <r>
    <s v="S1333"/>
    <x v="333"/>
    <x v="7"/>
    <x v="0"/>
    <s v="2/18/2023"/>
    <x v="0"/>
    <n v="9857"/>
    <n v="5580"/>
    <n v="2.76"/>
    <n v="6"/>
  </r>
  <r>
    <s v="S1334"/>
    <x v="334"/>
    <x v="4"/>
    <x v="3"/>
    <s v="2/15/2022"/>
    <x v="0"/>
    <n v="3419"/>
    <n v="7990"/>
    <n v="3.98"/>
    <n v="57"/>
  </r>
  <r>
    <s v="S1335"/>
    <x v="335"/>
    <x v="2"/>
    <x v="1"/>
    <d v="2022-03-10T00:00:00"/>
    <x v="0"/>
    <n v="10227"/>
    <n v="8244"/>
    <n v="2.46"/>
    <n v="40"/>
  </r>
  <r>
    <s v="S1336"/>
    <x v="336"/>
    <x v="7"/>
    <x v="3"/>
    <d v="2023-09-12T00:00:00"/>
    <x v="0"/>
    <n v="5425"/>
    <n v="8837"/>
    <n v="2.46"/>
    <n v="17"/>
  </r>
  <r>
    <s v="S1337"/>
    <x v="337"/>
    <x v="0"/>
    <x v="1"/>
    <s v="1/15/2024"/>
    <x v="0"/>
    <n v="3010"/>
    <n v="3613"/>
    <n v="3.27"/>
    <n v="9"/>
  </r>
  <r>
    <s v="S1338"/>
    <x v="338"/>
    <x v="7"/>
    <x v="2"/>
    <s v="10/20/2022"/>
    <x v="0"/>
    <n v="8290"/>
    <n v="4182"/>
    <n v="2.71"/>
    <n v="72"/>
  </r>
  <r>
    <s v="S1339"/>
    <x v="339"/>
    <x v="5"/>
    <x v="3"/>
    <s v="5/16/2023"/>
    <x v="0"/>
    <n v="3151"/>
    <n v="2504"/>
    <n v="2.38"/>
    <n v="51"/>
  </r>
  <r>
    <s v="S1340"/>
    <x v="340"/>
    <x v="1"/>
    <x v="0"/>
    <s v="4/27/2023"/>
    <x v="0"/>
    <n v="3317"/>
    <n v="5701"/>
    <n v="2.08"/>
    <n v="85"/>
  </r>
  <r>
    <s v="S1341"/>
    <x v="341"/>
    <x v="4"/>
    <x v="3"/>
    <s v="2/19/2022"/>
    <x v="0"/>
    <n v="4447"/>
    <n v="1972"/>
    <n v="3.43"/>
    <n v="67"/>
  </r>
  <r>
    <s v="S1342"/>
    <x v="342"/>
    <x v="3"/>
    <x v="1"/>
    <s v="1/30/2024"/>
    <x v="0"/>
    <n v="4390"/>
    <n v="9450"/>
    <n v="3.04"/>
    <n v="119"/>
  </r>
  <r>
    <s v="S1343"/>
    <x v="343"/>
    <x v="1"/>
    <x v="1"/>
    <s v="1/19/2023"/>
    <x v="0"/>
    <n v="12226"/>
    <n v="5785"/>
    <n v="3.48"/>
    <n v="46"/>
  </r>
  <r>
    <s v="S1344"/>
    <x v="344"/>
    <x v="7"/>
    <x v="0"/>
    <s v="6/17/2024"/>
    <x v="0"/>
    <n v="10765"/>
    <n v="3730"/>
    <n v="3.18"/>
    <n v="109"/>
  </r>
  <r>
    <s v="S1345"/>
    <x v="345"/>
    <x v="1"/>
    <x v="3"/>
    <s v="9/14/2023"/>
    <x v="0"/>
    <n v="6631"/>
    <n v="3605"/>
    <n v="2.15"/>
    <n v="93"/>
  </r>
  <r>
    <s v="S1346"/>
    <x v="346"/>
    <x v="4"/>
    <x v="0"/>
    <s v="11/19/2022"/>
    <x v="0"/>
    <n v="12250"/>
    <n v="373"/>
    <n v="3.37"/>
    <n v="23"/>
  </r>
  <r>
    <s v="S1347"/>
    <x v="347"/>
    <x v="0"/>
    <x v="0"/>
    <s v="3/21/2022"/>
    <x v="0"/>
    <n v="8028"/>
    <n v="5955"/>
    <n v="2.81"/>
    <n v="4"/>
  </r>
  <r>
    <s v="S1348"/>
    <x v="348"/>
    <x v="0"/>
    <x v="3"/>
    <s v="1/25/2024"/>
    <x v="1"/>
    <n v="4948"/>
    <n v="3342"/>
    <n v="3.08"/>
    <n v="119"/>
  </r>
  <r>
    <s v="S1349"/>
    <x v="349"/>
    <x v="2"/>
    <x v="1"/>
    <s v="3/31/2024"/>
    <x v="0"/>
    <n v="5751"/>
    <n v="1819"/>
    <n v="2.04"/>
    <n v="58"/>
  </r>
  <r>
    <s v="S1350"/>
    <x v="350"/>
    <x v="3"/>
    <x v="1"/>
    <s v="7/18/2022"/>
    <x v="2"/>
    <n v="8271"/>
    <n v="6443"/>
    <n v="3.38"/>
    <n v="101"/>
  </r>
  <r>
    <s v="S1351"/>
    <x v="351"/>
    <x v="1"/>
    <x v="2"/>
    <s v="1/21/2024"/>
    <x v="0"/>
    <n v="11568"/>
    <n v="9456"/>
    <n v="3.74"/>
    <n v="104"/>
  </r>
  <r>
    <s v="S1352"/>
    <x v="352"/>
    <x v="0"/>
    <x v="1"/>
    <s v="7/31/2023"/>
    <x v="0"/>
    <n v="10825"/>
    <n v="9457"/>
    <n v="3.74"/>
    <n v="3"/>
  </r>
  <r>
    <s v="S1353"/>
    <x v="353"/>
    <x v="6"/>
    <x v="2"/>
    <d v="2022-06-07T00:00:00"/>
    <x v="1"/>
    <n v="7978"/>
    <n v="7406"/>
    <n v="3.61"/>
    <n v="32"/>
  </r>
  <r>
    <s v="S1354"/>
    <x v="354"/>
    <x v="2"/>
    <x v="0"/>
    <d v="2022-03-10T00:00:00"/>
    <x v="1"/>
    <n v="11708"/>
    <n v="9853"/>
    <n v="2.88"/>
    <n v="49"/>
  </r>
  <r>
    <s v="S1355"/>
    <x v="355"/>
    <x v="4"/>
    <x v="1"/>
    <d v="2022-01-01T00:00:00"/>
    <x v="0"/>
    <n v="14323"/>
    <n v="5656"/>
    <n v="3.7"/>
    <n v="48"/>
  </r>
  <r>
    <s v="S1356"/>
    <x v="356"/>
    <x v="6"/>
    <x v="0"/>
    <s v="1/13/2023"/>
    <x v="0"/>
    <n v="3253"/>
    <n v="8143"/>
    <n v="2.79"/>
    <n v="69"/>
  </r>
  <r>
    <s v="S1357"/>
    <x v="357"/>
    <x v="4"/>
    <x v="3"/>
    <s v="8/30/2023"/>
    <x v="0"/>
    <n v="14408"/>
    <n v="9114"/>
    <n v="2.0699999999999998"/>
    <n v="74"/>
  </r>
  <r>
    <s v="S1358"/>
    <x v="358"/>
    <x v="7"/>
    <x v="0"/>
    <s v="10/26/2022"/>
    <x v="0"/>
    <n v="9948"/>
    <n v="840"/>
    <n v="2.4500000000000002"/>
    <n v="9"/>
  </r>
  <r>
    <s v="S1359"/>
    <x v="359"/>
    <x v="6"/>
    <x v="1"/>
    <s v="12/29/2023"/>
    <x v="2"/>
    <n v="8535"/>
    <n v="678"/>
    <n v="3.07"/>
    <n v="28"/>
  </r>
  <r>
    <s v="S1360"/>
    <x v="360"/>
    <x v="4"/>
    <x v="2"/>
    <s v="6/17/2022"/>
    <x v="0"/>
    <n v="3685"/>
    <n v="36"/>
    <n v="2.57"/>
    <n v="5"/>
  </r>
  <r>
    <s v="S1361"/>
    <x v="361"/>
    <x v="7"/>
    <x v="3"/>
    <s v="5/26/2024"/>
    <x v="2"/>
    <n v="13540"/>
    <n v="3077"/>
    <n v="3.69"/>
    <n v="62"/>
  </r>
  <r>
    <s v="S1362"/>
    <x v="362"/>
    <x v="3"/>
    <x v="1"/>
    <d v="2024-09-05T00:00:00"/>
    <x v="1"/>
    <n v="14073"/>
    <n v="6320"/>
    <n v="2.4300000000000002"/>
    <n v="3"/>
  </r>
  <r>
    <s v="S1363"/>
    <x v="363"/>
    <x v="7"/>
    <x v="2"/>
    <d v="2023-05-12T00:00:00"/>
    <x v="1"/>
    <n v="6665"/>
    <n v="2771"/>
    <n v="3.28"/>
    <n v="66"/>
  </r>
  <r>
    <s v="S1364"/>
    <x v="364"/>
    <x v="2"/>
    <x v="3"/>
    <s v="2/22/2022"/>
    <x v="0"/>
    <n v="7095"/>
    <n v="8663"/>
    <n v="2.3199999999999998"/>
    <n v="98"/>
  </r>
  <r>
    <s v="S1365"/>
    <x v="365"/>
    <x v="3"/>
    <x v="3"/>
    <s v="9/22/2022"/>
    <x v="0"/>
    <n v="14571"/>
    <n v="1629"/>
    <n v="2.36"/>
    <n v="33"/>
  </r>
  <r>
    <s v="S1366"/>
    <x v="366"/>
    <x v="3"/>
    <x v="2"/>
    <d v="2024-10-06T00:00:00"/>
    <x v="2"/>
    <n v="10830"/>
    <n v="6989"/>
    <n v="2.2200000000000002"/>
    <n v="83"/>
  </r>
  <r>
    <s v="S1367"/>
    <x v="367"/>
    <x v="0"/>
    <x v="1"/>
    <d v="2023-11-11T00:00:00"/>
    <x v="2"/>
    <n v="8519"/>
    <n v="2389"/>
    <n v="2.85"/>
    <n v="109"/>
  </r>
  <r>
    <s v="S1368"/>
    <x v="368"/>
    <x v="4"/>
    <x v="1"/>
    <d v="2022-09-06T00:00:00"/>
    <x v="0"/>
    <n v="3664"/>
    <n v="6430"/>
    <n v="3.23"/>
    <n v="112"/>
  </r>
  <r>
    <s v="S1369"/>
    <x v="369"/>
    <x v="0"/>
    <x v="1"/>
    <s v="9/29/2022"/>
    <x v="0"/>
    <n v="2185"/>
    <n v="9733"/>
    <n v="2.1"/>
    <n v="21"/>
  </r>
  <r>
    <s v="S1370"/>
    <x v="370"/>
    <x v="1"/>
    <x v="2"/>
    <s v="1/31/2023"/>
    <x v="0"/>
    <n v="14842"/>
    <n v="8209"/>
    <n v="3.53"/>
    <n v="5"/>
  </r>
  <r>
    <s v="S1371"/>
    <x v="371"/>
    <x v="0"/>
    <x v="2"/>
    <s v="5/24/2022"/>
    <x v="1"/>
    <n v="4085"/>
    <n v="7274"/>
    <n v="3.68"/>
    <n v="118"/>
  </r>
  <r>
    <s v="S1372"/>
    <x v="372"/>
    <x v="0"/>
    <x v="3"/>
    <s v="4/26/2024"/>
    <x v="2"/>
    <n v="10083"/>
    <n v="7627"/>
    <n v="3.65"/>
    <n v="51"/>
  </r>
  <r>
    <s v="S1373"/>
    <x v="373"/>
    <x v="4"/>
    <x v="2"/>
    <s v="9/14/2022"/>
    <x v="0"/>
    <n v="7207"/>
    <n v="849"/>
    <n v="2.7"/>
    <n v="13"/>
  </r>
  <r>
    <s v="S1374"/>
    <x v="374"/>
    <x v="6"/>
    <x v="1"/>
    <s v="9/22/2022"/>
    <x v="1"/>
    <n v="5212"/>
    <n v="8077"/>
    <n v="3.84"/>
    <n v="107"/>
  </r>
  <r>
    <s v="S1375"/>
    <x v="375"/>
    <x v="0"/>
    <x v="2"/>
    <d v="2022-10-03T00:00:00"/>
    <x v="0"/>
    <n v="9737"/>
    <n v="4257"/>
    <n v="3.43"/>
    <n v="47"/>
  </r>
  <r>
    <s v="S1376"/>
    <x v="376"/>
    <x v="5"/>
    <x v="3"/>
    <s v="2/24/2022"/>
    <x v="2"/>
    <n v="3123"/>
    <n v="5542"/>
    <n v="3.82"/>
    <n v="48"/>
  </r>
  <r>
    <s v="S1377"/>
    <x v="377"/>
    <x v="7"/>
    <x v="0"/>
    <s v="7/15/2023"/>
    <x v="0"/>
    <n v="2497"/>
    <n v="7768"/>
    <n v="3.66"/>
    <n v="56"/>
  </r>
  <r>
    <s v="S1378"/>
    <x v="378"/>
    <x v="1"/>
    <x v="1"/>
    <d v="2024-10-06T00:00:00"/>
    <x v="1"/>
    <n v="13114"/>
    <n v="5020"/>
    <n v="2.78"/>
    <n v="67"/>
  </r>
  <r>
    <s v="S1379"/>
    <x v="379"/>
    <x v="7"/>
    <x v="3"/>
    <s v="3/20/2022"/>
    <x v="0"/>
    <n v="12549"/>
    <n v="5639"/>
    <n v="3.36"/>
    <n v="38"/>
  </r>
  <r>
    <s v="S1380"/>
    <x v="380"/>
    <x v="0"/>
    <x v="2"/>
    <s v="5/15/2023"/>
    <x v="0"/>
    <n v="11461"/>
    <n v="6852"/>
    <n v="2.88"/>
    <n v="73"/>
  </r>
  <r>
    <s v="S1381"/>
    <x v="381"/>
    <x v="0"/>
    <x v="2"/>
    <s v="5/22/2023"/>
    <x v="2"/>
    <n v="13551"/>
    <n v="1986"/>
    <n v="3.86"/>
    <n v="5"/>
  </r>
  <r>
    <s v="S1382"/>
    <x v="382"/>
    <x v="2"/>
    <x v="0"/>
    <d v="2023-10-02T00:00:00"/>
    <x v="2"/>
    <n v="13139"/>
    <n v="2798"/>
    <n v="2.63"/>
    <n v="119"/>
  </r>
  <r>
    <s v="S1383"/>
    <x v="383"/>
    <x v="5"/>
    <x v="0"/>
    <s v="8/25/2023"/>
    <x v="0"/>
    <n v="4092"/>
    <n v="8499"/>
    <n v="3.48"/>
    <n v="69"/>
  </r>
  <r>
    <s v="S1384"/>
    <x v="384"/>
    <x v="4"/>
    <x v="3"/>
    <s v="6/14/2022"/>
    <x v="1"/>
    <n v="2153"/>
    <n v="7439"/>
    <n v="3.76"/>
    <n v="30"/>
  </r>
  <r>
    <s v="S1385"/>
    <x v="385"/>
    <x v="5"/>
    <x v="2"/>
    <s v="4/25/2022"/>
    <x v="0"/>
    <n v="8339"/>
    <n v="9829"/>
    <n v="2.34"/>
    <n v="116"/>
  </r>
  <r>
    <s v="S1386"/>
    <x v="386"/>
    <x v="6"/>
    <x v="0"/>
    <d v="2022-09-03T00:00:00"/>
    <x v="0"/>
    <n v="11121"/>
    <n v="2183"/>
    <n v="2.99"/>
    <n v="42"/>
  </r>
  <r>
    <s v="S1387"/>
    <x v="387"/>
    <x v="7"/>
    <x v="2"/>
    <s v="6/29/2022"/>
    <x v="0"/>
    <n v="7432"/>
    <n v="7205"/>
    <n v="3.64"/>
    <n v="8"/>
  </r>
  <r>
    <s v="S1388"/>
    <x v="388"/>
    <x v="5"/>
    <x v="3"/>
    <d v="2022-08-11T00:00:00"/>
    <x v="0"/>
    <n v="3537"/>
    <n v="1875"/>
    <n v="2.87"/>
    <n v="19"/>
  </r>
  <r>
    <s v="S1389"/>
    <x v="389"/>
    <x v="4"/>
    <x v="2"/>
    <s v="4/17/2022"/>
    <x v="0"/>
    <n v="9228"/>
    <n v="1359"/>
    <n v="2.4"/>
    <n v="81"/>
  </r>
  <r>
    <s v="S1390"/>
    <x v="390"/>
    <x v="5"/>
    <x v="0"/>
    <s v="12/23/2022"/>
    <x v="1"/>
    <n v="13877"/>
    <n v="6447"/>
    <n v="2.34"/>
    <n v="69"/>
  </r>
  <r>
    <s v="S1391"/>
    <x v="391"/>
    <x v="5"/>
    <x v="1"/>
    <d v="2023-05-07T00:00:00"/>
    <x v="0"/>
    <n v="10582"/>
    <n v="7243"/>
    <n v="2.41"/>
    <n v="10"/>
  </r>
  <r>
    <s v="S1392"/>
    <x v="392"/>
    <x v="7"/>
    <x v="0"/>
    <d v="2024-02-02T00:00:00"/>
    <x v="0"/>
    <n v="11913"/>
    <n v="1193"/>
    <n v="3.95"/>
    <n v="92"/>
  </r>
  <r>
    <s v="S1393"/>
    <x v="393"/>
    <x v="1"/>
    <x v="3"/>
    <s v="6/25/2023"/>
    <x v="0"/>
    <n v="4298"/>
    <n v="6092"/>
    <n v="3.4"/>
    <n v="5"/>
  </r>
  <r>
    <s v="S1394"/>
    <x v="394"/>
    <x v="7"/>
    <x v="0"/>
    <s v="1/15/2022"/>
    <x v="0"/>
    <n v="4756"/>
    <n v="7006"/>
    <n v="3.99"/>
    <n v="105"/>
  </r>
  <r>
    <s v="S1395"/>
    <x v="395"/>
    <x v="5"/>
    <x v="0"/>
    <s v="11/17/2022"/>
    <x v="0"/>
    <n v="3656"/>
    <n v="2681"/>
    <n v="3.13"/>
    <n v="100"/>
  </r>
  <r>
    <s v="S1396"/>
    <x v="396"/>
    <x v="6"/>
    <x v="3"/>
    <d v="2022-12-10T00:00:00"/>
    <x v="1"/>
    <n v="10433"/>
    <n v="4525"/>
    <n v="3.29"/>
    <n v="108"/>
  </r>
  <r>
    <s v="S1397"/>
    <x v="397"/>
    <x v="0"/>
    <x v="3"/>
    <s v="1/19/2023"/>
    <x v="0"/>
    <n v="7176"/>
    <n v="6289"/>
    <n v="2.74"/>
    <n v="8"/>
  </r>
  <r>
    <s v="S1398"/>
    <x v="398"/>
    <x v="0"/>
    <x v="2"/>
    <d v="2023-10-10T00:00:00"/>
    <x v="1"/>
    <n v="4923"/>
    <n v="4054"/>
    <n v="2.95"/>
    <n v="47"/>
  </r>
  <r>
    <s v="S1399"/>
    <x v="399"/>
    <x v="3"/>
    <x v="1"/>
    <s v="8/31/2023"/>
    <x v="0"/>
    <n v="11530"/>
    <n v="8184"/>
    <n v="2.92"/>
    <n v="39"/>
  </r>
  <r>
    <s v="S1400"/>
    <x v="400"/>
    <x v="5"/>
    <x v="1"/>
    <s v="11/17/2022"/>
    <x v="0"/>
    <n v="8885"/>
    <n v="7872"/>
    <n v="3.05"/>
    <n v="90"/>
  </r>
  <r>
    <s v="S1401"/>
    <x v="401"/>
    <x v="6"/>
    <x v="2"/>
    <d v="2024-08-06T00:00:00"/>
    <x v="0"/>
    <n v="10284"/>
    <n v="3331"/>
    <n v="2.88"/>
    <n v="39"/>
  </r>
  <r>
    <s v="S1402"/>
    <x v="402"/>
    <x v="5"/>
    <x v="3"/>
    <d v="2023-10-03T00:00:00"/>
    <x v="1"/>
    <n v="3783"/>
    <n v="2017"/>
    <n v="3.28"/>
    <n v="88"/>
  </r>
  <r>
    <s v="S1403"/>
    <x v="403"/>
    <x v="7"/>
    <x v="2"/>
    <d v="2023-03-12T00:00:00"/>
    <x v="2"/>
    <n v="2286"/>
    <n v="5321"/>
    <n v="2.81"/>
    <n v="111"/>
  </r>
  <r>
    <s v="S1404"/>
    <x v="404"/>
    <x v="4"/>
    <x v="0"/>
    <s v="12/21/2022"/>
    <x v="0"/>
    <n v="6531"/>
    <n v="6344"/>
    <n v="3.86"/>
    <n v="36"/>
  </r>
  <r>
    <s v="S1405"/>
    <x v="405"/>
    <x v="4"/>
    <x v="0"/>
    <s v="4/23/2022"/>
    <x v="0"/>
    <n v="5496"/>
    <n v="3092"/>
    <n v="3.83"/>
    <n v="71"/>
  </r>
  <r>
    <s v="S1406"/>
    <x v="406"/>
    <x v="6"/>
    <x v="0"/>
    <s v="4/30/2022"/>
    <x v="0"/>
    <n v="8341"/>
    <n v="2639"/>
    <n v="3.15"/>
    <n v="39"/>
  </r>
  <r>
    <s v="S1407"/>
    <x v="407"/>
    <x v="6"/>
    <x v="1"/>
    <s v="7/25/2022"/>
    <x v="1"/>
    <n v="3900"/>
    <n v="8192"/>
    <n v="3.46"/>
    <n v="1"/>
  </r>
  <r>
    <s v="S1408"/>
    <x v="408"/>
    <x v="4"/>
    <x v="0"/>
    <d v="2024-08-06T00:00:00"/>
    <x v="1"/>
    <n v="10931"/>
    <n v="768"/>
    <n v="3.3"/>
    <n v="97"/>
  </r>
  <r>
    <s v="S1409"/>
    <x v="409"/>
    <x v="4"/>
    <x v="0"/>
    <s v="9/30/2023"/>
    <x v="0"/>
    <n v="13786"/>
    <n v="8660"/>
    <n v="2.0499999999999998"/>
    <n v="59"/>
  </r>
  <r>
    <s v="S1410"/>
    <x v="410"/>
    <x v="4"/>
    <x v="3"/>
    <d v="2024-08-03T00:00:00"/>
    <x v="1"/>
    <n v="7556"/>
    <n v="4121"/>
    <n v="2.62"/>
    <n v="109"/>
  </r>
  <r>
    <s v="S1411"/>
    <x v="411"/>
    <x v="0"/>
    <x v="3"/>
    <d v="2023-11-06T00:00:00"/>
    <x v="0"/>
    <n v="2531"/>
    <n v="864"/>
    <n v="2.9"/>
    <n v="20"/>
  </r>
  <r>
    <s v="S1412"/>
    <x v="412"/>
    <x v="3"/>
    <x v="3"/>
    <d v="2023-01-08T00:00:00"/>
    <x v="0"/>
    <n v="11002"/>
    <n v="7136"/>
    <n v="3.77"/>
    <n v="43"/>
  </r>
  <r>
    <s v="S1413"/>
    <x v="413"/>
    <x v="5"/>
    <x v="0"/>
    <s v="1/24/2023"/>
    <x v="0"/>
    <n v="11863"/>
    <n v="3622"/>
    <n v="3.98"/>
    <n v="31"/>
  </r>
  <r>
    <s v="S1414"/>
    <x v="414"/>
    <x v="1"/>
    <x v="0"/>
    <d v="2022-11-12T00:00:00"/>
    <x v="0"/>
    <n v="2264"/>
    <n v="9265"/>
    <n v="2.16"/>
    <n v="73"/>
  </r>
  <r>
    <s v="S1415"/>
    <x v="415"/>
    <x v="2"/>
    <x v="2"/>
    <d v="2022-04-12T00:00:00"/>
    <x v="0"/>
    <n v="10950"/>
    <n v="9633"/>
    <n v="2.75"/>
    <n v="103"/>
  </r>
  <r>
    <s v="S1416"/>
    <x v="416"/>
    <x v="6"/>
    <x v="1"/>
    <s v="9/22/2022"/>
    <x v="0"/>
    <n v="14054"/>
    <n v="2816"/>
    <n v="3.16"/>
    <n v="72"/>
  </r>
  <r>
    <s v="S1417"/>
    <x v="417"/>
    <x v="1"/>
    <x v="0"/>
    <s v="9/18/2022"/>
    <x v="0"/>
    <n v="3844"/>
    <n v="3972"/>
    <n v="2.31"/>
    <n v="57"/>
  </r>
  <r>
    <s v="S1418"/>
    <x v="418"/>
    <x v="1"/>
    <x v="3"/>
    <d v="2022-07-03T00:00:00"/>
    <x v="1"/>
    <n v="5442"/>
    <n v="4647"/>
    <n v="2.83"/>
    <n v="23"/>
  </r>
  <r>
    <s v="S1419"/>
    <x v="419"/>
    <x v="4"/>
    <x v="1"/>
    <d v="2022-03-07T00:00:00"/>
    <x v="0"/>
    <n v="6199"/>
    <n v="3078"/>
    <n v="3.4"/>
    <n v="118"/>
  </r>
  <r>
    <s v="S1420"/>
    <x v="420"/>
    <x v="3"/>
    <x v="1"/>
    <d v="2024-12-04T00:00:00"/>
    <x v="0"/>
    <n v="14814"/>
    <n v="8975"/>
    <n v="3.52"/>
    <n v="109"/>
  </r>
  <r>
    <s v="S1421"/>
    <x v="421"/>
    <x v="0"/>
    <x v="3"/>
    <s v="11/17/2023"/>
    <x v="1"/>
    <n v="7031"/>
    <n v="1727"/>
    <n v="3.48"/>
    <n v="25"/>
  </r>
  <r>
    <s v="S1422"/>
    <x v="422"/>
    <x v="5"/>
    <x v="0"/>
    <s v="7/16/2022"/>
    <x v="0"/>
    <n v="12388"/>
    <n v="9027"/>
    <n v="2.42"/>
    <n v="93"/>
  </r>
  <r>
    <s v="S1423"/>
    <x v="423"/>
    <x v="6"/>
    <x v="0"/>
    <d v="2024-12-01T00:00:00"/>
    <x v="1"/>
    <n v="12003"/>
    <n v="6828"/>
    <n v="3.79"/>
    <n v="69"/>
  </r>
  <r>
    <s v="S1424"/>
    <x v="424"/>
    <x v="1"/>
    <x v="2"/>
    <d v="2023-12-07T00:00:00"/>
    <x v="0"/>
    <n v="11667"/>
    <n v="4710"/>
    <n v="2.02"/>
    <n v="45"/>
  </r>
  <r>
    <s v="S1425"/>
    <x v="425"/>
    <x v="3"/>
    <x v="3"/>
    <d v="2022-02-06T00:00:00"/>
    <x v="0"/>
    <n v="12437"/>
    <n v="4916"/>
    <n v="2.25"/>
    <n v="3"/>
  </r>
  <r>
    <s v="S1426"/>
    <x v="426"/>
    <x v="4"/>
    <x v="1"/>
    <s v="5/30/2024"/>
    <x v="0"/>
    <n v="7135"/>
    <n v="4567"/>
    <n v="3.08"/>
    <n v="66"/>
  </r>
  <r>
    <s v="S1427"/>
    <x v="427"/>
    <x v="3"/>
    <x v="0"/>
    <d v="2023-12-02T00:00:00"/>
    <x v="2"/>
    <n v="13450"/>
    <n v="2890"/>
    <n v="2.15"/>
    <n v="45"/>
  </r>
  <r>
    <s v="S1428"/>
    <x v="428"/>
    <x v="3"/>
    <x v="0"/>
    <d v="2023-11-02T00:00:00"/>
    <x v="1"/>
    <n v="4844"/>
    <n v="4629"/>
    <n v="3.53"/>
    <n v="42"/>
  </r>
  <r>
    <s v="S1429"/>
    <x v="429"/>
    <x v="4"/>
    <x v="1"/>
    <s v="3/16/2023"/>
    <x v="0"/>
    <n v="6230"/>
    <n v="9993"/>
    <n v="3.22"/>
    <n v="54"/>
  </r>
  <r>
    <s v="S1430"/>
    <x v="430"/>
    <x v="3"/>
    <x v="1"/>
    <s v="1/16/2022"/>
    <x v="0"/>
    <n v="8045"/>
    <n v="9544"/>
    <n v="3.7"/>
    <n v="112"/>
  </r>
  <r>
    <s v="S1431"/>
    <x v="431"/>
    <x v="3"/>
    <x v="2"/>
    <s v="5/14/2023"/>
    <x v="0"/>
    <n v="14341"/>
    <n v="3156"/>
    <n v="3.45"/>
    <n v="34"/>
  </r>
  <r>
    <s v="S1432"/>
    <x v="432"/>
    <x v="0"/>
    <x v="0"/>
    <s v="9/17/2023"/>
    <x v="2"/>
    <n v="12361"/>
    <n v="7447"/>
    <n v="2.37"/>
    <n v="62"/>
  </r>
  <r>
    <s v="S1433"/>
    <x v="433"/>
    <x v="1"/>
    <x v="1"/>
    <s v="6/23/2023"/>
    <x v="0"/>
    <n v="5539"/>
    <n v="4162"/>
    <n v="2.06"/>
    <n v="41"/>
  </r>
  <r>
    <s v="S1434"/>
    <x v="434"/>
    <x v="2"/>
    <x v="1"/>
    <d v="2023-04-07T00:00:00"/>
    <x v="1"/>
    <n v="9848"/>
    <n v="4265"/>
    <n v="3.47"/>
    <n v="24"/>
  </r>
  <r>
    <s v="S1435"/>
    <x v="435"/>
    <x v="3"/>
    <x v="2"/>
    <s v="7/21/2022"/>
    <x v="0"/>
    <n v="3572"/>
    <n v="2564"/>
    <n v="2.58"/>
    <n v="15"/>
  </r>
  <r>
    <s v="S1436"/>
    <x v="436"/>
    <x v="6"/>
    <x v="2"/>
    <s v="3/31/2024"/>
    <x v="0"/>
    <n v="10473"/>
    <n v="6758"/>
    <n v="2.06"/>
    <n v="89"/>
  </r>
  <r>
    <s v="S1437"/>
    <x v="437"/>
    <x v="6"/>
    <x v="0"/>
    <d v="2024-02-04T00:00:00"/>
    <x v="0"/>
    <n v="14206"/>
    <n v="7664"/>
    <n v="2.93"/>
    <n v="107"/>
  </r>
  <r>
    <s v="S1438"/>
    <x v="438"/>
    <x v="4"/>
    <x v="0"/>
    <d v="2023-11-04T00:00:00"/>
    <x v="0"/>
    <n v="13152"/>
    <n v="5009"/>
    <n v="3.55"/>
    <n v="32"/>
  </r>
  <r>
    <s v="S1439"/>
    <x v="439"/>
    <x v="7"/>
    <x v="1"/>
    <s v="7/29/2023"/>
    <x v="0"/>
    <n v="4765"/>
    <n v="8911"/>
    <n v="3.2"/>
    <n v="98"/>
  </r>
  <r>
    <s v="S1440"/>
    <x v="440"/>
    <x v="0"/>
    <x v="3"/>
    <s v="11/20/2022"/>
    <x v="0"/>
    <n v="5955"/>
    <n v="2658"/>
    <n v="2.09"/>
    <n v="28"/>
  </r>
  <r>
    <s v="S1441"/>
    <x v="441"/>
    <x v="6"/>
    <x v="2"/>
    <d v="2024-03-05T00:00:00"/>
    <x v="0"/>
    <n v="7836"/>
    <n v="4315"/>
    <n v="3.51"/>
    <n v="21"/>
  </r>
  <r>
    <s v="S1442"/>
    <x v="442"/>
    <x v="6"/>
    <x v="2"/>
    <s v="11/14/2023"/>
    <x v="2"/>
    <n v="5721"/>
    <n v="2408"/>
    <n v="2.65"/>
    <n v="95"/>
  </r>
  <r>
    <s v="S1443"/>
    <x v="443"/>
    <x v="1"/>
    <x v="2"/>
    <d v="2023-04-04T00:00:00"/>
    <x v="0"/>
    <n v="11681"/>
    <n v="8380"/>
    <n v="2.21"/>
    <n v="116"/>
  </r>
  <r>
    <s v="S1444"/>
    <x v="444"/>
    <x v="7"/>
    <x v="0"/>
    <s v="12/17/2022"/>
    <x v="0"/>
    <n v="12943"/>
    <n v="5191"/>
    <n v="2.0099999999999998"/>
    <n v="47"/>
  </r>
  <r>
    <s v="S1445"/>
    <x v="445"/>
    <x v="7"/>
    <x v="0"/>
    <d v="2024-01-06T00:00:00"/>
    <x v="2"/>
    <n v="5062"/>
    <n v="5198"/>
    <n v="2.69"/>
    <n v="20"/>
  </r>
  <r>
    <s v="S1446"/>
    <x v="446"/>
    <x v="4"/>
    <x v="0"/>
    <d v="2023-09-05T00:00:00"/>
    <x v="0"/>
    <n v="12038"/>
    <n v="5910"/>
    <n v="3.02"/>
    <n v="117"/>
  </r>
  <r>
    <s v="S1447"/>
    <x v="447"/>
    <x v="2"/>
    <x v="3"/>
    <d v="2022-07-03T00:00:00"/>
    <x v="0"/>
    <n v="12484"/>
    <n v="3462"/>
    <n v="2.93"/>
    <n v="41"/>
  </r>
  <r>
    <s v="S1448"/>
    <x v="448"/>
    <x v="1"/>
    <x v="1"/>
    <s v="6/18/2022"/>
    <x v="0"/>
    <n v="10278"/>
    <n v="9891"/>
    <n v="3.9"/>
    <n v="105"/>
  </r>
  <r>
    <s v="S1449"/>
    <x v="449"/>
    <x v="5"/>
    <x v="3"/>
    <s v="4/25/2024"/>
    <x v="1"/>
    <n v="14666"/>
    <n v="8402"/>
    <n v="3.55"/>
    <n v="22"/>
  </r>
  <r>
    <s v="S1450"/>
    <x v="450"/>
    <x v="7"/>
    <x v="3"/>
    <d v="2023-11-04T00:00:00"/>
    <x v="0"/>
    <n v="5773"/>
    <n v="2234"/>
    <n v="3.22"/>
    <n v="1"/>
  </r>
  <r>
    <s v="S1451"/>
    <x v="451"/>
    <x v="1"/>
    <x v="0"/>
    <s v="7/28/2023"/>
    <x v="1"/>
    <n v="14561"/>
    <n v="2548"/>
    <n v="2.78"/>
    <n v="73"/>
  </r>
  <r>
    <s v="S1452"/>
    <x v="452"/>
    <x v="1"/>
    <x v="3"/>
    <s v="4/14/2022"/>
    <x v="0"/>
    <n v="10266"/>
    <n v="7787"/>
    <n v="2.36"/>
    <n v="97"/>
  </r>
  <r>
    <s v="S1453"/>
    <x v="453"/>
    <x v="7"/>
    <x v="3"/>
    <d v="2023-08-09T00:00:00"/>
    <x v="0"/>
    <n v="7631"/>
    <n v="3737"/>
    <n v="3.84"/>
    <n v="84"/>
  </r>
  <r>
    <s v="S1454"/>
    <x v="454"/>
    <x v="1"/>
    <x v="0"/>
    <s v="2/14/2022"/>
    <x v="2"/>
    <n v="8113"/>
    <n v="5772"/>
    <n v="2.13"/>
    <n v="23"/>
  </r>
  <r>
    <s v="S1455"/>
    <x v="455"/>
    <x v="6"/>
    <x v="2"/>
    <s v="1/20/2022"/>
    <x v="2"/>
    <n v="8188"/>
    <n v="5814"/>
    <n v="3.94"/>
    <n v="48"/>
  </r>
  <r>
    <s v="S1456"/>
    <x v="456"/>
    <x v="5"/>
    <x v="0"/>
    <s v="4/15/2024"/>
    <x v="0"/>
    <n v="11072"/>
    <n v="3466"/>
    <n v="2.4700000000000002"/>
    <n v="2"/>
  </r>
  <r>
    <s v="S1457"/>
    <x v="457"/>
    <x v="3"/>
    <x v="2"/>
    <s v="2/16/2024"/>
    <x v="0"/>
    <n v="10070"/>
    <n v="6381"/>
    <n v="2.36"/>
    <n v="111"/>
  </r>
  <r>
    <s v="S1458"/>
    <x v="458"/>
    <x v="3"/>
    <x v="1"/>
    <s v="3/28/2022"/>
    <x v="1"/>
    <n v="10311"/>
    <n v="1376"/>
    <n v="2.76"/>
    <n v="104"/>
  </r>
  <r>
    <s v="S1459"/>
    <x v="459"/>
    <x v="5"/>
    <x v="2"/>
    <s v="1/17/2024"/>
    <x v="0"/>
    <n v="7796"/>
    <n v="7561"/>
    <n v="2.42"/>
    <n v="102"/>
  </r>
  <r>
    <s v="S1460"/>
    <x v="460"/>
    <x v="1"/>
    <x v="1"/>
    <s v="3/15/2024"/>
    <x v="0"/>
    <n v="3923"/>
    <n v="9125"/>
    <n v="3.36"/>
    <n v="63"/>
  </r>
  <r>
    <s v="S1461"/>
    <x v="461"/>
    <x v="7"/>
    <x v="1"/>
    <d v="2023-11-02T00:00:00"/>
    <x v="1"/>
    <n v="11697"/>
    <n v="6392"/>
    <n v="2.61"/>
    <n v="3"/>
  </r>
  <r>
    <s v="S1462"/>
    <x v="462"/>
    <x v="4"/>
    <x v="1"/>
    <s v="5/28/2024"/>
    <x v="0"/>
    <n v="2666"/>
    <n v="2729"/>
    <n v="2.94"/>
    <n v="10"/>
  </r>
  <r>
    <s v="S1463"/>
    <x v="463"/>
    <x v="0"/>
    <x v="3"/>
    <s v="3/30/2022"/>
    <x v="0"/>
    <n v="7947"/>
    <n v="1"/>
    <n v="3.25"/>
    <n v="60"/>
  </r>
  <r>
    <s v="S1464"/>
    <x v="464"/>
    <x v="2"/>
    <x v="2"/>
    <s v="2/26/2023"/>
    <x v="1"/>
    <n v="10596"/>
    <n v="9803"/>
    <n v="2.16"/>
    <n v="118"/>
  </r>
  <r>
    <s v="S1465"/>
    <x v="465"/>
    <x v="6"/>
    <x v="2"/>
    <d v="2022-03-09T00:00:00"/>
    <x v="0"/>
    <n v="8634"/>
    <n v="3087"/>
    <n v="3.44"/>
    <n v="41"/>
  </r>
  <r>
    <s v="S1466"/>
    <x v="466"/>
    <x v="4"/>
    <x v="2"/>
    <s v="5/14/2023"/>
    <x v="1"/>
    <n v="10367"/>
    <n v="4879"/>
    <n v="3.24"/>
    <n v="110"/>
  </r>
  <r>
    <s v="S1467"/>
    <x v="467"/>
    <x v="1"/>
    <x v="0"/>
    <s v="7/23/2022"/>
    <x v="1"/>
    <n v="10339"/>
    <n v="2913"/>
    <n v="2.92"/>
    <n v="49"/>
  </r>
  <r>
    <s v="S1468"/>
    <x v="468"/>
    <x v="7"/>
    <x v="0"/>
    <s v="2/17/2024"/>
    <x v="1"/>
    <n v="5503"/>
    <n v="9605"/>
    <n v="3.96"/>
    <n v="35"/>
  </r>
  <r>
    <s v="S1469"/>
    <x v="469"/>
    <x v="3"/>
    <x v="1"/>
    <d v="2023-12-03T00:00:00"/>
    <x v="1"/>
    <n v="7289"/>
    <n v="3200"/>
    <n v="3.83"/>
    <n v="73"/>
  </r>
  <r>
    <s v="S1470"/>
    <x v="470"/>
    <x v="3"/>
    <x v="0"/>
    <d v="2022-03-05T00:00:00"/>
    <x v="0"/>
    <n v="11474"/>
    <n v="6902"/>
    <n v="3.46"/>
    <n v="91"/>
  </r>
  <r>
    <s v="S1471"/>
    <x v="471"/>
    <x v="4"/>
    <x v="0"/>
    <d v="2024-04-05T00:00:00"/>
    <x v="2"/>
    <n v="10970"/>
    <n v="8625"/>
    <n v="3.51"/>
    <n v="9"/>
  </r>
  <r>
    <s v="S1472"/>
    <x v="472"/>
    <x v="3"/>
    <x v="0"/>
    <s v="11/30/2023"/>
    <x v="1"/>
    <n v="10927"/>
    <n v="1469"/>
    <n v="3.19"/>
    <n v="31"/>
  </r>
  <r>
    <s v="S1473"/>
    <x v="473"/>
    <x v="5"/>
    <x v="3"/>
    <s v="7/23/2022"/>
    <x v="0"/>
    <n v="8469"/>
    <n v="371"/>
    <n v="3.71"/>
    <n v="9"/>
  </r>
  <r>
    <s v="S1474"/>
    <x v="474"/>
    <x v="7"/>
    <x v="2"/>
    <d v="2022-03-07T00:00:00"/>
    <x v="0"/>
    <n v="13334"/>
    <n v="2799"/>
    <n v="3.97"/>
    <n v="57"/>
  </r>
  <r>
    <s v="S1475"/>
    <x v="475"/>
    <x v="3"/>
    <x v="3"/>
    <s v="11/16/2022"/>
    <x v="0"/>
    <n v="11400"/>
    <n v="8573"/>
    <n v="2.76"/>
    <n v="0"/>
  </r>
  <r>
    <s v="S1476"/>
    <x v="476"/>
    <x v="0"/>
    <x v="1"/>
    <d v="2022-11-11T00:00:00"/>
    <x v="0"/>
    <n v="11931"/>
    <n v="6007"/>
    <n v="3.96"/>
    <n v="8"/>
  </r>
  <r>
    <s v="S1477"/>
    <x v="477"/>
    <x v="2"/>
    <x v="3"/>
    <s v="10/29/2022"/>
    <x v="0"/>
    <n v="12019"/>
    <n v="8711"/>
    <n v="3.97"/>
    <n v="12"/>
  </r>
  <r>
    <s v="S1478"/>
    <x v="478"/>
    <x v="7"/>
    <x v="2"/>
    <s v="7/14/2022"/>
    <x v="0"/>
    <n v="6419"/>
    <n v="1464"/>
    <n v="2.97"/>
    <n v="93"/>
  </r>
  <r>
    <s v="S1479"/>
    <x v="479"/>
    <x v="3"/>
    <x v="2"/>
    <s v="5/24/2023"/>
    <x v="1"/>
    <n v="3561"/>
    <n v="6640"/>
    <n v="2.02"/>
    <n v="63"/>
  </r>
  <r>
    <s v="S1480"/>
    <x v="480"/>
    <x v="1"/>
    <x v="2"/>
    <s v="8/26/2022"/>
    <x v="1"/>
    <n v="3683"/>
    <n v="1441"/>
    <n v="2.31"/>
    <n v="102"/>
  </r>
  <r>
    <s v="S1481"/>
    <x v="481"/>
    <x v="2"/>
    <x v="3"/>
    <d v="2024-12-05T00:00:00"/>
    <x v="0"/>
    <n v="6365"/>
    <n v="5276"/>
    <n v="3.2"/>
    <n v="20"/>
  </r>
  <r>
    <s v="S1482"/>
    <x v="482"/>
    <x v="0"/>
    <x v="2"/>
    <s v="10/25/2022"/>
    <x v="1"/>
    <n v="9763"/>
    <n v="308"/>
    <n v="3.25"/>
    <n v="69"/>
  </r>
  <r>
    <s v="S1483"/>
    <x v="483"/>
    <x v="2"/>
    <x v="0"/>
    <s v="7/23/2022"/>
    <x v="0"/>
    <n v="8244"/>
    <n v="6754"/>
    <n v="3.13"/>
    <n v="20"/>
  </r>
  <r>
    <s v="S1484"/>
    <x v="484"/>
    <x v="3"/>
    <x v="1"/>
    <s v="1/21/2022"/>
    <x v="1"/>
    <n v="14276"/>
    <n v="4243"/>
    <n v="3.91"/>
    <n v="1"/>
  </r>
  <r>
    <s v="S1485"/>
    <x v="485"/>
    <x v="4"/>
    <x v="3"/>
    <s v="6/24/2022"/>
    <x v="1"/>
    <n v="5843"/>
    <n v="6177"/>
    <n v="2.09"/>
    <n v="28"/>
  </r>
  <r>
    <s v="S1486"/>
    <x v="486"/>
    <x v="0"/>
    <x v="0"/>
    <d v="2023-02-08T00:00:00"/>
    <x v="0"/>
    <n v="10937"/>
    <n v="1114"/>
    <n v="2.69"/>
    <n v="109"/>
  </r>
  <r>
    <s v="S1487"/>
    <x v="487"/>
    <x v="0"/>
    <x v="3"/>
    <d v="2023-08-08T00:00:00"/>
    <x v="0"/>
    <n v="4056"/>
    <n v="332"/>
    <n v="3.81"/>
    <n v="97"/>
  </r>
  <r>
    <s v="S1488"/>
    <x v="488"/>
    <x v="3"/>
    <x v="1"/>
    <s v="1/31/2022"/>
    <x v="0"/>
    <n v="10757"/>
    <n v="1430"/>
    <n v="3.29"/>
    <n v="93"/>
  </r>
  <r>
    <s v="S1489"/>
    <x v="489"/>
    <x v="5"/>
    <x v="1"/>
    <s v="10/21/2023"/>
    <x v="0"/>
    <n v="5023"/>
    <n v="6205"/>
    <n v="3.59"/>
    <n v="11"/>
  </r>
  <r>
    <s v="S1490"/>
    <x v="490"/>
    <x v="5"/>
    <x v="2"/>
    <d v="2024-11-02T00:00:00"/>
    <x v="1"/>
    <n v="6821"/>
    <n v="5563"/>
    <n v="2.02"/>
    <n v="70"/>
  </r>
  <r>
    <s v="S1491"/>
    <x v="491"/>
    <x v="6"/>
    <x v="3"/>
    <s v="5/13/2024"/>
    <x v="0"/>
    <n v="3545"/>
    <n v="7302"/>
    <n v="2.87"/>
    <n v="12"/>
  </r>
  <r>
    <s v="S1492"/>
    <x v="492"/>
    <x v="1"/>
    <x v="2"/>
    <s v="11/19/2022"/>
    <x v="0"/>
    <n v="14219"/>
    <n v="7883"/>
    <n v="2.7"/>
    <n v="98"/>
  </r>
  <r>
    <s v="S1493"/>
    <x v="493"/>
    <x v="4"/>
    <x v="3"/>
    <s v="10/29/2022"/>
    <x v="2"/>
    <n v="3235"/>
    <n v="1111"/>
    <n v="2.4300000000000002"/>
    <n v="119"/>
  </r>
  <r>
    <s v="S1494"/>
    <x v="494"/>
    <x v="5"/>
    <x v="2"/>
    <s v="9/13/2022"/>
    <x v="0"/>
    <n v="12764"/>
    <n v="1814"/>
    <n v="2.37"/>
    <n v="108"/>
  </r>
  <r>
    <s v="S1495"/>
    <x v="495"/>
    <x v="4"/>
    <x v="0"/>
    <s v="11/26/2023"/>
    <x v="1"/>
    <n v="7033"/>
    <n v="3416"/>
    <n v="3.51"/>
    <n v="7"/>
  </r>
  <r>
    <s v="S1496"/>
    <x v="496"/>
    <x v="3"/>
    <x v="2"/>
    <s v="3/29/2022"/>
    <x v="2"/>
    <n v="13290"/>
    <n v="1862"/>
    <n v="2.39"/>
    <n v="75"/>
  </r>
  <r>
    <s v="S1497"/>
    <x v="497"/>
    <x v="0"/>
    <x v="0"/>
    <s v="7/15/2022"/>
    <x v="0"/>
    <n v="12663"/>
    <n v="4913"/>
    <n v="3.59"/>
    <n v="110"/>
  </r>
  <r>
    <s v="S1498"/>
    <x v="498"/>
    <x v="7"/>
    <x v="3"/>
    <d v="2023-11-08T00:00:00"/>
    <x v="1"/>
    <n v="3630"/>
    <n v="8783"/>
    <n v="2.73"/>
    <n v="67"/>
  </r>
  <r>
    <s v="S1499"/>
    <x v="499"/>
    <x v="7"/>
    <x v="3"/>
    <d v="2023-06-03T00:00:00"/>
    <x v="0"/>
    <n v="14263"/>
    <n v="2162"/>
    <n v="3.8"/>
    <n v="53"/>
  </r>
  <r>
    <s v="S1500"/>
    <x v="500"/>
    <x v="2"/>
    <x v="2"/>
    <s v="6/20/2023"/>
    <x v="1"/>
    <n v="12155"/>
    <n v="8128"/>
    <n v="3.28"/>
    <n v="21"/>
  </r>
  <r>
    <s v="S1501"/>
    <x v="501"/>
    <x v="4"/>
    <x v="1"/>
    <d v="2024-06-02T00:00:00"/>
    <x v="1"/>
    <n v="4867"/>
    <n v="7702"/>
    <n v="3.52"/>
    <n v="1"/>
  </r>
  <r>
    <s v="S1502"/>
    <x v="502"/>
    <x v="5"/>
    <x v="1"/>
    <s v="1/17/2022"/>
    <x v="1"/>
    <n v="13284"/>
    <n v="5926"/>
    <n v="2.25"/>
    <n v="48"/>
  </r>
  <r>
    <s v="S1503"/>
    <x v="503"/>
    <x v="1"/>
    <x v="3"/>
    <d v="2022-10-05T00:00:00"/>
    <x v="0"/>
    <n v="10971"/>
    <n v="3693"/>
    <n v="3.43"/>
    <n v="67"/>
  </r>
  <r>
    <s v="S1504"/>
    <x v="504"/>
    <x v="5"/>
    <x v="2"/>
    <s v="6/14/2023"/>
    <x v="0"/>
    <n v="10845"/>
    <n v="3885"/>
    <n v="3.24"/>
    <n v="73"/>
  </r>
  <r>
    <s v="S1505"/>
    <x v="505"/>
    <x v="4"/>
    <x v="2"/>
    <s v="5/18/2022"/>
    <x v="2"/>
    <n v="3925"/>
    <n v="9799"/>
    <n v="2.62"/>
    <n v="73"/>
  </r>
  <r>
    <s v="S1506"/>
    <x v="506"/>
    <x v="2"/>
    <x v="1"/>
    <s v="12/14/2023"/>
    <x v="1"/>
    <n v="9717"/>
    <n v="1531"/>
    <n v="3.9"/>
    <n v="15"/>
  </r>
  <r>
    <s v="S1507"/>
    <x v="507"/>
    <x v="1"/>
    <x v="1"/>
    <d v="2023-12-10T00:00:00"/>
    <x v="1"/>
    <n v="9611"/>
    <n v="6838"/>
    <n v="3.3"/>
    <n v="94"/>
  </r>
  <r>
    <s v="S1508"/>
    <x v="508"/>
    <x v="6"/>
    <x v="1"/>
    <s v="12/29/2023"/>
    <x v="1"/>
    <n v="7850"/>
    <n v="5788"/>
    <n v="2.58"/>
    <n v="14"/>
  </r>
  <r>
    <s v="S1509"/>
    <x v="509"/>
    <x v="0"/>
    <x v="0"/>
    <s v="2/24/2023"/>
    <x v="0"/>
    <n v="13973"/>
    <n v="1742"/>
    <n v="2.1"/>
    <n v="10"/>
  </r>
  <r>
    <s v="S1510"/>
    <x v="510"/>
    <x v="6"/>
    <x v="2"/>
    <s v="1/27/2024"/>
    <x v="0"/>
    <n v="9294"/>
    <n v="6415"/>
    <n v="3.38"/>
    <n v="57"/>
  </r>
  <r>
    <s v="S1511"/>
    <x v="511"/>
    <x v="4"/>
    <x v="0"/>
    <s v="7/29/2022"/>
    <x v="1"/>
    <n v="9133"/>
    <n v="2906"/>
    <n v="2.85"/>
    <n v="42"/>
  </r>
  <r>
    <s v="S1512"/>
    <x v="512"/>
    <x v="4"/>
    <x v="0"/>
    <s v="4/18/2024"/>
    <x v="2"/>
    <n v="9782"/>
    <n v="2085"/>
    <n v="2.36"/>
    <n v="66"/>
  </r>
  <r>
    <s v="S1513"/>
    <x v="513"/>
    <x v="0"/>
    <x v="0"/>
    <s v="6/13/2024"/>
    <x v="1"/>
    <n v="5574"/>
    <n v="6633"/>
    <n v="2.82"/>
    <n v="1"/>
  </r>
  <r>
    <s v="S1514"/>
    <x v="514"/>
    <x v="1"/>
    <x v="3"/>
    <s v="1/17/2022"/>
    <x v="0"/>
    <n v="6629"/>
    <n v="3439"/>
    <n v="3.83"/>
    <n v="31"/>
  </r>
  <r>
    <s v="S1515"/>
    <x v="515"/>
    <x v="4"/>
    <x v="1"/>
    <s v="11/24/2022"/>
    <x v="0"/>
    <n v="10972"/>
    <n v="8709"/>
    <n v="2.56"/>
    <n v="15"/>
  </r>
  <r>
    <s v="S1516"/>
    <x v="516"/>
    <x v="2"/>
    <x v="1"/>
    <s v="1/31/2022"/>
    <x v="1"/>
    <n v="14926"/>
    <n v="7700"/>
    <n v="4"/>
    <n v="97"/>
  </r>
  <r>
    <s v="S1517"/>
    <x v="517"/>
    <x v="5"/>
    <x v="2"/>
    <s v="3/25/2024"/>
    <x v="0"/>
    <n v="4128"/>
    <n v="3535"/>
    <n v="3.48"/>
    <n v="32"/>
  </r>
  <r>
    <s v="S1518"/>
    <x v="518"/>
    <x v="6"/>
    <x v="3"/>
    <s v="3/23/2024"/>
    <x v="0"/>
    <n v="3774"/>
    <n v="3406"/>
    <n v="3.35"/>
    <n v="63"/>
  </r>
  <r>
    <s v="S1519"/>
    <x v="519"/>
    <x v="6"/>
    <x v="3"/>
    <s v="10/24/2022"/>
    <x v="0"/>
    <n v="9643"/>
    <n v="431"/>
    <n v="3.6"/>
    <n v="26"/>
  </r>
  <r>
    <s v="S1520"/>
    <x v="520"/>
    <x v="3"/>
    <x v="3"/>
    <s v="6/20/2022"/>
    <x v="1"/>
    <n v="9016"/>
    <n v="3228"/>
    <n v="3.24"/>
    <n v="62"/>
  </r>
  <r>
    <s v="S1521"/>
    <x v="521"/>
    <x v="7"/>
    <x v="1"/>
    <s v="6/15/2024"/>
    <x v="0"/>
    <n v="6221"/>
    <n v="5210"/>
    <n v="3.38"/>
    <n v="103"/>
  </r>
  <r>
    <s v="S1522"/>
    <x v="522"/>
    <x v="3"/>
    <x v="3"/>
    <d v="2022-10-04T00:00:00"/>
    <x v="0"/>
    <n v="3532"/>
    <n v="5236"/>
    <n v="3.48"/>
    <n v="115"/>
  </r>
  <r>
    <s v="S1523"/>
    <x v="523"/>
    <x v="5"/>
    <x v="2"/>
    <d v="2024-05-06T00:00:00"/>
    <x v="0"/>
    <n v="9455"/>
    <n v="1102"/>
    <n v="2.98"/>
    <n v="15"/>
  </r>
  <r>
    <s v="S1524"/>
    <x v="524"/>
    <x v="0"/>
    <x v="2"/>
    <d v="2024-09-06T00:00:00"/>
    <x v="1"/>
    <n v="4219"/>
    <n v="6695"/>
    <n v="2.4300000000000002"/>
    <n v="79"/>
  </r>
  <r>
    <s v="S1525"/>
    <x v="525"/>
    <x v="5"/>
    <x v="1"/>
    <d v="2022-01-06T00:00:00"/>
    <x v="0"/>
    <n v="2395"/>
    <n v="5019"/>
    <n v="2.34"/>
    <n v="53"/>
  </r>
  <r>
    <s v="S1526"/>
    <x v="526"/>
    <x v="4"/>
    <x v="2"/>
    <s v="11/19/2023"/>
    <x v="2"/>
    <n v="9775"/>
    <n v="3000"/>
    <n v="3.2"/>
    <n v="32"/>
  </r>
  <r>
    <s v="S1527"/>
    <x v="527"/>
    <x v="1"/>
    <x v="3"/>
    <s v="1/21/2022"/>
    <x v="0"/>
    <n v="4629"/>
    <n v="3746"/>
    <n v="3.38"/>
    <n v="34"/>
  </r>
  <r>
    <s v="S1528"/>
    <x v="528"/>
    <x v="2"/>
    <x v="2"/>
    <d v="2022-09-01T00:00:00"/>
    <x v="0"/>
    <n v="7248"/>
    <n v="9409"/>
    <n v="2.7"/>
    <n v="49"/>
  </r>
  <r>
    <s v="S1529"/>
    <x v="529"/>
    <x v="0"/>
    <x v="3"/>
    <s v="9/25/2023"/>
    <x v="1"/>
    <n v="4602"/>
    <n v="4429"/>
    <n v="3.6"/>
    <n v="67"/>
  </r>
  <r>
    <s v="S1530"/>
    <x v="530"/>
    <x v="6"/>
    <x v="2"/>
    <d v="2024-03-03T00:00:00"/>
    <x v="0"/>
    <n v="10379"/>
    <n v="4077"/>
    <n v="3.5"/>
    <n v="76"/>
  </r>
  <r>
    <s v="S1531"/>
    <x v="531"/>
    <x v="5"/>
    <x v="0"/>
    <s v="9/20/2022"/>
    <x v="1"/>
    <n v="11404"/>
    <n v="8999"/>
    <n v="2.9"/>
    <n v="81"/>
  </r>
  <r>
    <s v="S1532"/>
    <x v="532"/>
    <x v="2"/>
    <x v="3"/>
    <s v="9/17/2022"/>
    <x v="0"/>
    <n v="2748"/>
    <n v="9068"/>
    <n v="3.73"/>
    <n v="89"/>
  </r>
  <r>
    <s v="S1533"/>
    <x v="533"/>
    <x v="5"/>
    <x v="2"/>
    <s v="8/20/2023"/>
    <x v="0"/>
    <n v="14781"/>
    <n v="7325"/>
    <n v="3.22"/>
    <n v="79"/>
  </r>
  <r>
    <s v="S1534"/>
    <x v="534"/>
    <x v="6"/>
    <x v="3"/>
    <s v="10/16/2023"/>
    <x v="0"/>
    <n v="8468"/>
    <n v="802"/>
    <n v="2.74"/>
    <n v="117"/>
  </r>
  <r>
    <s v="S1535"/>
    <x v="535"/>
    <x v="2"/>
    <x v="3"/>
    <s v="10/30/2022"/>
    <x v="2"/>
    <n v="3482"/>
    <n v="2557"/>
    <n v="3.67"/>
    <n v="62"/>
  </r>
  <r>
    <s v="S1536"/>
    <x v="536"/>
    <x v="0"/>
    <x v="1"/>
    <d v="2022-12-09T00:00:00"/>
    <x v="1"/>
    <n v="10273"/>
    <n v="782"/>
    <n v="2.9"/>
    <n v="59"/>
  </r>
  <r>
    <s v="S1537"/>
    <x v="537"/>
    <x v="6"/>
    <x v="0"/>
    <s v="11/13/2022"/>
    <x v="0"/>
    <n v="3359"/>
    <n v="7027"/>
    <n v="2.0499999999999998"/>
    <n v="73"/>
  </r>
  <r>
    <s v="S1538"/>
    <x v="538"/>
    <x v="2"/>
    <x v="2"/>
    <s v="3/21/2024"/>
    <x v="0"/>
    <n v="12403"/>
    <n v="6720"/>
    <n v="2.15"/>
    <n v="48"/>
  </r>
  <r>
    <s v="S1539"/>
    <x v="539"/>
    <x v="6"/>
    <x v="1"/>
    <s v="8/18/2023"/>
    <x v="2"/>
    <n v="14781"/>
    <n v="8496"/>
    <n v="2.42"/>
    <n v="16"/>
  </r>
  <r>
    <s v="S1540"/>
    <x v="540"/>
    <x v="3"/>
    <x v="1"/>
    <s v="1/15/2022"/>
    <x v="2"/>
    <n v="11844"/>
    <n v="3086"/>
    <n v="2.65"/>
    <n v="115"/>
  </r>
  <r>
    <s v="S1541"/>
    <x v="541"/>
    <x v="3"/>
    <x v="3"/>
    <d v="2022-11-07T00:00:00"/>
    <x v="0"/>
    <n v="13562"/>
    <n v="378"/>
    <n v="2.88"/>
    <n v="83"/>
  </r>
  <r>
    <s v="S1542"/>
    <x v="542"/>
    <x v="4"/>
    <x v="1"/>
    <s v="1/24/2022"/>
    <x v="0"/>
    <n v="6188"/>
    <n v="3078"/>
    <n v="3.67"/>
    <n v="45"/>
  </r>
  <r>
    <s v="S1543"/>
    <x v="543"/>
    <x v="6"/>
    <x v="3"/>
    <s v="12/16/2023"/>
    <x v="0"/>
    <n v="9594"/>
    <n v="2423"/>
    <n v="2.1"/>
    <n v="96"/>
  </r>
  <r>
    <s v="S1544"/>
    <x v="544"/>
    <x v="6"/>
    <x v="0"/>
    <d v="2023-05-06T00:00:00"/>
    <x v="2"/>
    <n v="11109"/>
    <n v="8899"/>
    <n v="3.47"/>
    <n v="109"/>
  </r>
  <r>
    <s v="S1545"/>
    <x v="545"/>
    <x v="4"/>
    <x v="1"/>
    <s v="5/31/2023"/>
    <x v="0"/>
    <n v="13950"/>
    <n v="6684"/>
    <n v="2.37"/>
    <n v="103"/>
  </r>
  <r>
    <s v="S1546"/>
    <x v="546"/>
    <x v="3"/>
    <x v="1"/>
    <d v="2023-04-03T00:00:00"/>
    <x v="0"/>
    <n v="13070"/>
    <n v="5252"/>
    <n v="2.19"/>
    <n v="94"/>
  </r>
  <r>
    <s v="S1547"/>
    <x v="547"/>
    <x v="7"/>
    <x v="2"/>
    <s v="4/22/2022"/>
    <x v="2"/>
    <n v="6161"/>
    <n v="9625"/>
    <n v="2.84"/>
    <n v="50"/>
  </r>
  <r>
    <s v="S1548"/>
    <x v="548"/>
    <x v="4"/>
    <x v="0"/>
    <d v="2023-06-05T00:00:00"/>
    <x v="1"/>
    <n v="14816"/>
    <n v="1546"/>
    <n v="3.69"/>
    <n v="31"/>
  </r>
  <r>
    <s v="S1549"/>
    <x v="549"/>
    <x v="1"/>
    <x v="1"/>
    <s v="2/28/2024"/>
    <x v="1"/>
    <n v="4781"/>
    <n v="667"/>
    <n v="3.11"/>
    <n v="32"/>
  </r>
  <r>
    <s v="S1550"/>
    <x v="550"/>
    <x v="0"/>
    <x v="0"/>
    <s v="5/16/2024"/>
    <x v="2"/>
    <n v="9289"/>
    <n v="4906"/>
    <n v="2.2599999999999998"/>
    <n v="105"/>
  </r>
  <r>
    <s v="S1551"/>
    <x v="551"/>
    <x v="1"/>
    <x v="2"/>
    <s v="3/19/2024"/>
    <x v="0"/>
    <n v="4151"/>
    <n v="7945"/>
    <n v="3.12"/>
    <n v="45"/>
  </r>
  <r>
    <s v="S1552"/>
    <x v="552"/>
    <x v="3"/>
    <x v="1"/>
    <d v="2023-09-02T00:00:00"/>
    <x v="1"/>
    <n v="13343"/>
    <n v="4903"/>
    <n v="2.77"/>
    <n v="39"/>
  </r>
  <r>
    <s v="S1553"/>
    <x v="553"/>
    <x v="3"/>
    <x v="2"/>
    <d v="2023-08-07T00:00:00"/>
    <x v="0"/>
    <n v="2460"/>
    <n v="4560"/>
    <n v="3.8"/>
    <n v="62"/>
  </r>
  <r>
    <s v="S1554"/>
    <x v="554"/>
    <x v="4"/>
    <x v="0"/>
    <d v="2023-05-10T00:00:00"/>
    <x v="1"/>
    <n v="10553"/>
    <n v="3008"/>
    <n v="2.37"/>
    <n v="3"/>
  </r>
  <r>
    <s v="S1555"/>
    <x v="555"/>
    <x v="4"/>
    <x v="2"/>
    <s v="5/14/2023"/>
    <x v="1"/>
    <n v="5975"/>
    <n v="3830"/>
    <n v="2.06"/>
    <n v="96"/>
  </r>
  <r>
    <s v="S1556"/>
    <x v="556"/>
    <x v="4"/>
    <x v="0"/>
    <d v="2024-10-05T00:00:00"/>
    <x v="0"/>
    <n v="9200"/>
    <n v="1956"/>
    <n v="2.95"/>
    <n v="97"/>
  </r>
  <r>
    <s v="S1557"/>
    <x v="557"/>
    <x v="0"/>
    <x v="0"/>
    <s v="5/19/2023"/>
    <x v="1"/>
    <n v="7875"/>
    <n v="6378"/>
    <n v="2.09"/>
    <n v="90"/>
  </r>
  <r>
    <s v="S1558"/>
    <x v="558"/>
    <x v="6"/>
    <x v="3"/>
    <s v="6/13/2022"/>
    <x v="0"/>
    <n v="9704"/>
    <n v="8153"/>
    <n v="2.33"/>
    <n v="101"/>
  </r>
  <r>
    <s v="S1559"/>
    <x v="559"/>
    <x v="7"/>
    <x v="2"/>
    <s v="10/24/2022"/>
    <x v="0"/>
    <n v="13578"/>
    <n v="8755"/>
    <n v="3.16"/>
    <n v="33"/>
  </r>
  <r>
    <s v="S1560"/>
    <x v="560"/>
    <x v="6"/>
    <x v="0"/>
    <d v="2022-10-07T00:00:00"/>
    <x v="2"/>
    <n v="3192"/>
    <n v="633"/>
    <n v="2.71"/>
    <n v="86"/>
  </r>
  <r>
    <s v="S1561"/>
    <x v="561"/>
    <x v="1"/>
    <x v="1"/>
    <s v="8/22/2023"/>
    <x v="0"/>
    <n v="7449"/>
    <n v="1118"/>
    <n v="2.88"/>
    <n v="77"/>
  </r>
  <r>
    <s v="S1562"/>
    <x v="562"/>
    <x v="5"/>
    <x v="2"/>
    <d v="2023-06-12T00:00:00"/>
    <x v="0"/>
    <n v="2638"/>
    <n v="4498"/>
    <n v="3"/>
    <n v="20"/>
  </r>
  <r>
    <s v="S1563"/>
    <x v="563"/>
    <x v="3"/>
    <x v="3"/>
    <d v="2022-10-07T00:00:00"/>
    <x v="1"/>
    <n v="4665"/>
    <n v="4520"/>
    <n v="3.43"/>
    <n v="81"/>
  </r>
  <r>
    <s v="S1564"/>
    <x v="564"/>
    <x v="0"/>
    <x v="2"/>
    <s v="1/25/2024"/>
    <x v="2"/>
    <n v="6305"/>
    <n v="7832"/>
    <n v="3.16"/>
    <n v="104"/>
  </r>
  <r>
    <s v="S1565"/>
    <x v="565"/>
    <x v="0"/>
    <x v="0"/>
    <s v="12/24/2022"/>
    <x v="0"/>
    <n v="5186"/>
    <n v="2277"/>
    <n v="2.34"/>
    <n v="3"/>
  </r>
  <r>
    <s v="S1566"/>
    <x v="566"/>
    <x v="3"/>
    <x v="3"/>
    <s v="7/30/2022"/>
    <x v="2"/>
    <n v="11323"/>
    <n v="9086"/>
    <n v="3.11"/>
    <n v="89"/>
  </r>
  <r>
    <s v="S1567"/>
    <x v="567"/>
    <x v="6"/>
    <x v="3"/>
    <s v="7/13/2022"/>
    <x v="0"/>
    <n v="6456"/>
    <n v="5205"/>
    <n v="3.71"/>
    <n v="15"/>
  </r>
  <r>
    <s v="S1568"/>
    <x v="568"/>
    <x v="3"/>
    <x v="3"/>
    <s v="9/20/2022"/>
    <x v="1"/>
    <n v="3925"/>
    <n v="5671"/>
    <n v="2.15"/>
    <n v="95"/>
  </r>
  <r>
    <s v="S1569"/>
    <x v="569"/>
    <x v="2"/>
    <x v="2"/>
    <d v="2023-04-10T00:00:00"/>
    <x v="0"/>
    <n v="11329"/>
    <n v="5904"/>
    <n v="2.35"/>
    <n v="35"/>
  </r>
  <r>
    <s v="S1570"/>
    <x v="570"/>
    <x v="6"/>
    <x v="3"/>
    <s v="3/17/2024"/>
    <x v="0"/>
    <n v="5357"/>
    <n v="1523"/>
    <n v="3.96"/>
    <n v="23"/>
  </r>
  <r>
    <s v="S1571"/>
    <x v="571"/>
    <x v="2"/>
    <x v="0"/>
    <d v="2023-11-06T00:00:00"/>
    <x v="1"/>
    <n v="10853"/>
    <n v="5377"/>
    <n v="3.52"/>
    <n v="12"/>
  </r>
  <r>
    <s v="S1572"/>
    <x v="572"/>
    <x v="1"/>
    <x v="0"/>
    <d v="2024-11-03T00:00:00"/>
    <x v="1"/>
    <n v="3136"/>
    <n v="1799"/>
    <n v="3.99"/>
    <n v="94"/>
  </r>
  <r>
    <s v="S1573"/>
    <x v="573"/>
    <x v="2"/>
    <x v="0"/>
    <d v="2024-01-02T00:00:00"/>
    <x v="0"/>
    <n v="12521"/>
    <n v="6705"/>
    <n v="2.34"/>
    <n v="105"/>
  </r>
  <r>
    <s v="S1574"/>
    <x v="574"/>
    <x v="2"/>
    <x v="1"/>
    <d v="2023-01-06T00:00:00"/>
    <x v="0"/>
    <n v="8123"/>
    <n v="7824"/>
    <n v="2.29"/>
    <n v="5"/>
  </r>
  <r>
    <s v="S1575"/>
    <x v="575"/>
    <x v="4"/>
    <x v="3"/>
    <s v="3/22/2023"/>
    <x v="0"/>
    <n v="11134"/>
    <n v="8004"/>
    <n v="2.4500000000000002"/>
    <n v="67"/>
  </r>
  <r>
    <s v="S1576"/>
    <x v="576"/>
    <x v="5"/>
    <x v="3"/>
    <d v="2024-06-02T00:00:00"/>
    <x v="1"/>
    <n v="5281"/>
    <n v="602"/>
    <n v="2.7"/>
    <n v="20"/>
  </r>
  <r>
    <s v="S1577"/>
    <x v="577"/>
    <x v="3"/>
    <x v="1"/>
    <d v="2023-05-05T00:00:00"/>
    <x v="0"/>
    <n v="6006"/>
    <n v="3641"/>
    <n v="3.61"/>
    <n v="28"/>
  </r>
  <r>
    <s v="S1578"/>
    <x v="578"/>
    <x v="4"/>
    <x v="3"/>
    <d v="2024-11-02T00:00:00"/>
    <x v="0"/>
    <n v="12212"/>
    <n v="8831"/>
    <n v="2.0499999999999998"/>
    <n v="69"/>
  </r>
  <r>
    <s v="S1579"/>
    <x v="579"/>
    <x v="4"/>
    <x v="3"/>
    <s v="3/29/2024"/>
    <x v="0"/>
    <n v="6847"/>
    <n v="6140"/>
    <n v="3.94"/>
    <n v="49"/>
  </r>
  <r>
    <s v="S1580"/>
    <x v="580"/>
    <x v="0"/>
    <x v="0"/>
    <d v="2023-08-12T00:00:00"/>
    <x v="0"/>
    <n v="6408"/>
    <n v="6290"/>
    <n v="2.67"/>
    <n v="110"/>
  </r>
  <r>
    <s v="S1581"/>
    <x v="581"/>
    <x v="0"/>
    <x v="2"/>
    <d v="2022-12-10T00:00:00"/>
    <x v="1"/>
    <n v="6458"/>
    <n v="6091"/>
    <n v="3.39"/>
    <n v="52"/>
  </r>
  <r>
    <s v="S1582"/>
    <x v="582"/>
    <x v="4"/>
    <x v="1"/>
    <s v="7/21/2023"/>
    <x v="0"/>
    <n v="4352"/>
    <n v="2341"/>
    <n v="3.26"/>
    <n v="87"/>
  </r>
  <r>
    <s v="S1583"/>
    <x v="583"/>
    <x v="0"/>
    <x v="0"/>
    <d v="2024-10-03T00:00:00"/>
    <x v="1"/>
    <n v="4096"/>
    <n v="591"/>
    <n v="2.02"/>
    <n v="49"/>
  </r>
  <r>
    <s v="S1584"/>
    <x v="584"/>
    <x v="3"/>
    <x v="2"/>
    <s v="10/23/2022"/>
    <x v="0"/>
    <n v="3042"/>
    <n v="1972"/>
    <n v="2.2599999999999998"/>
    <n v="31"/>
  </r>
  <r>
    <s v="S1585"/>
    <x v="585"/>
    <x v="6"/>
    <x v="2"/>
    <s v="1/16/2024"/>
    <x v="1"/>
    <n v="8295"/>
    <n v="7450"/>
    <n v="2.56"/>
    <n v="1"/>
  </r>
  <r>
    <s v="S1586"/>
    <x v="586"/>
    <x v="3"/>
    <x v="3"/>
    <s v="8/19/2023"/>
    <x v="1"/>
    <n v="2625"/>
    <n v="8101"/>
    <n v="3.82"/>
    <n v="95"/>
  </r>
  <r>
    <s v="S1587"/>
    <x v="587"/>
    <x v="2"/>
    <x v="2"/>
    <d v="2023-05-04T00:00:00"/>
    <x v="0"/>
    <n v="14579"/>
    <n v="3149"/>
    <n v="2.8"/>
    <n v="89"/>
  </r>
  <r>
    <s v="S1588"/>
    <x v="588"/>
    <x v="1"/>
    <x v="3"/>
    <s v="5/31/2022"/>
    <x v="1"/>
    <n v="3331"/>
    <n v="1957"/>
    <n v="3.12"/>
    <n v="57"/>
  </r>
  <r>
    <s v="S1589"/>
    <x v="589"/>
    <x v="2"/>
    <x v="2"/>
    <d v="2024-10-04T00:00:00"/>
    <x v="1"/>
    <n v="13756"/>
    <n v="1521"/>
    <n v="3.84"/>
    <n v="0"/>
  </r>
  <r>
    <s v="S1590"/>
    <x v="590"/>
    <x v="6"/>
    <x v="2"/>
    <s v="1/14/2023"/>
    <x v="0"/>
    <n v="2069"/>
    <n v="9168"/>
    <n v="2.4"/>
    <n v="60"/>
  </r>
  <r>
    <s v="S1591"/>
    <x v="591"/>
    <x v="3"/>
    <x v="0"/>
    <s v="5/29/2024"/>
    <x v="0"/>
    <n v="12736"/>
    <n v="86"/>
    <n v="3.52"/>
    <n v="30"/>
  </r>
  <r>
    <s v="S1592"/>
    <x v="592"/>
    <x v="3"/>
    <x v="3"/>
    <s v="12/16/2023"/>
    <x v="0"/>
    <n v="9002"/>
    <n v="9521"/>
    <n v="3.31"/>
    <n v="25"/>
  </r>
  <r>
    <s v="S1593"/>
    <x v="593"/>
    <x v="5"/>
    <x v="1"/>
    <s v="9/14/2023"/>
    <x v="2"/>
    <n v="10702"/>
    <n v="2826"/>
    <n v="3.39"/>
    <n v="6"/>
  </r>
  <r>
    <s v="S1594"/>
    <x v="594"/>
    <x v="1"/>
    <x v="3"/>
    <s v="9/18/2022"/>
    <x v="1"/>
    <n v="13535"/>
    <n v="8752"/>
    <n v="3.17"/>
    <n v="73"/>
  </r>
  <r>
    <s v="S1595"/>
    <x v="595"/>
    <x v="0"/>
    <x v="1"/>
    <s v="6/28/2022"/>
    <x v="0"/>
    <n v="11144"/>
    <n v="6352"/>
    <n v="2.89"/>
    <n v="98"/>
  </r>
  <r>
    <s v="S1596"/>
    <x v="596"/>
    <x v="5"/>
    <x v="1"/>
    <d v="2023-03-04T00:00:00"/>
    <x v="1"/>
    <n v="9401"/>
    <n v="5071"/>
    <n v="2.8"/>
    <n v="78"/>
  </r>
  <r>
    <s v="S1597"/>
    <x v="597"/>
    <x v="5"/>
    <x v="3"/>
    <s v="10/28/2023"/>
    <x v="2"/>
    <n v="6027"/>
    <n v="8515"/>
    <n v="2.76"/>
    <n v="50"/>
  </r>
  <r>
    <s v="S1598"/>
    <x v="598"/>
    <x v="5"/>
    <x v="1"/>
    <s v="6/22/2022"/>
    <x v="2"/>
    <n v="14933"/>
    <n v="5194"/>
    <n v="3.8"/>
    <n v="71"/>
  </r>
  <r>
    <s v="S1599"/>
    <x v="599"/>
    <x v="5"/>
    <x v="0"/>
    <s v="10/14/2022"/>
    <x v="0"/>
    <n v="4556"/>
    <n v="2074"/>
    <n v="3.47"/>
    <n v="13"/>
  </r>
  <r>
    <s v="S1600"/>
    <x v="600"/>
    <x v="5"/>
    <x v="3"/>
    <d v="2023-01-12T00:00:00"/>
    <x v="0"/>
    <n v="6572"/>
    <n v="7509"/>
    <n v="3.43"/>
    <n v="9"/>
  </r>
  <r>
    <s v="S1601"/>
    <x v="601"/>
    <x v="0"/>
    <x v="3"/>
    <s v="9/15/2023"/>
    <x v="0"/>
    <n v="2372"/>
    <n v="4974"/>
    <n v="2.8"/>
    <n v="51"/>
  </r>
  <r>
    <s v="S1602"/>
    <x v="602"/>
    <x v="5"/>
    <x v="2"/>
    <s v="7/18/2023"/>
    <x v="0"/>
    <n v="10692"/>
    <n v="6679"/>
    <n v="3.85"/>
    <n v="90"/>
  </r>
  <r>
    <s v="S1603"/>
    <x v="603"/>
    <x v="6"/>
    <x v="2"/>
    <s v="5/20/2024"/>
    <x v="0"/>
    <n v="13268"/>
    <n v="1099"/>
    <n v="3.63"/>
    <n v="105"/>
  </r>
  <r>
    <s v="S1604"/>
    <x v="604"/>
    <x v="5"/>
    <x v="1"/>
    <d v="2023-10-12T00:00:00"/>
    <x v="1"/>
    <n v="13205"/>
    <n v="4398"/>
    <n v="3.87"/>
    <n v="55"/>
  </r>
  <r>
    <s v="S1605"/>
    <x v="605"/>
    <x v="7"/>
    <x v="0"/>
    <d v="2022-10-12T00:00:00"/>
    <x v="1"/>
    <n v="14226"/>
    <n v="7209"/>
    <n v="2.8"/>
    <n v="77"/>
  </r>
  <r>
    <s v="S1606"/>
    <x v="606"/>
    <x v="2"/>
    <x v="1"/>
    <d v="2023-08-03T00:00:00"/>
    <x v="0"/>
    <n v="8513"/>
    <n v="1900"/>
    <n v="2.38"/>
    <n v="32"/>
  </r>
  <r>
    <s v="S1607"/>
    <x v="607"/>
    <x v="6"/>
    <x v="0"/>
    <s v="3/28/2023"/>
    <x v="0"/>
    <n v="11839"/>
    <n v="2074"/>
    <n v="2.94"/>
    <n v="9"/>
  </r>
  <r>
    <s v="S1608"/>
    <x v="608"/>
    <x v="2"/>
    <x v="3"/>
    <s v="6/28/2023"/>
    <x v="0"/>
    <n v="11789"/>
    <n v="2842"/>
    <n v="2.0499999999999998"/>
    <n v="103"/>
  </r>
  <r>
    <s v="S1609"/>
    <x v="609"/>
    <x v="6"/>
    <x v="1"/>
    <s v="5/23/2024"/>
    <x v="0"/>
    <n v="8777"/>
    <n v="5534"/>
    <n v="3.92"/>
    <n v="44"/>
  </r>
  <r>
    <s v="S1610"/>
    <x v="610"/>
    <x v="6"/>
    <x v="3"/>
    <d v="2023-08-04T00:00:00"/>
    <x v="2"/>
    <n v="14001"/>
    <n v="1920"/>
    <n v="2.66"/>
    <n v="83"/>
  </r>
  <r>
    <s v="S1611"/>
    <x v="611"/>
    <x v="5"/>
    <x v="0"/>
    <s v="11/30/2022"/>
    <x v="2"/>
    <n v="10096"/>
    <n v="7573"/>
    <n v="2.58"/>
    <n v="99"/>
  </r>
  <r>
    <s v="S1612"/>
    <x v="612"/>
    <x v="2"/>
    <x v="0"/>
    <d v="2023-07-11T00:00:00"/>
    <x v="0"/>
    <n v="12350"/>
    <n v="9222"/>
    <n v="2.86"/>
    <n v="31"/>
  </r>
  <r>
    <s v="S1613"/>
    <x v="613"/>
    <x v="6"/>
    <x v="1"/>
    <d v="2024-11-03T00:00:00"/>
    <x v="0"/>
    <n v="7322"/>
    <n v="1136"/>
    <n v="2.16"/>
    <n v="38"/>
  </r>
  <r>
    <s v="S1614"/>
    <x v="614"/>
    <x v="4"/>
    <x v="2"/>
    <d v="2024-12-04T00:00:00"/>
    <x v="0"/>
    <n v="5312"/>
    <n v="8824"/>
    <n v="2.78"/>
    <n v="25"/>
  </r>
  <r>
    <s v="S1615"/>
    <x v="615"/>
    <x v="2"/>
    <x v="3"/>
    <d v="2024-02-01T00:00:00"/>
    <x v="0"/>
    <n v="6373"/>
    <n v="5830"/>
    <n v="3.33"/>
    <n v="54"/>
  </r>
  <r>
    <s v="S1616"/>
    <x v="616"/>
    <x v="7"/>
    <x v="2"/>
    <s v="9/15/2023"/>
    <x v="0"/>
    <n v="4233"/>
    <n v="3690"/>
    <n v="2.95"/>
    <n v="25"/>
  </r>
  <r>
    <s v="S1617"/>
    <x v="617"/>
    <x v="0"/>
    <x v="3"/>
    <s v="5/26/2023"/>
    <x v="1"/>
    <n v="13229"/>
    <n v="4756"/>
    <n v="3.6"/>
    <n v="93"/>
  </r>
  <r>
    <s v="S1618"/>
    <x v="618"/>
    <x v="7"/>
    <x v="1"/>
    <s v="2/23/2024"/>
    <x v="0"/>
    <n v="3758"/>
    <n v="7268"/>
    <n v="2.16"/>
    <n v="57"/>
  </r>
  <r>
    <s v="S1619"/>
    <x v="619"/>
    <x v="2"/>
    <x v="0"/>
    <s v="4/18/2022"/>
    <x v="1"/>
    <n v="12721"/>
    <n v="2480"/>
    <n v="3.64"/>
    <n v="7"/>
  </r>
  <r>
    <s v="S1620"/>
    <x v="620"/>
    <x v="7"/>
    <x v="1"/>
    <s v="7/15/2023"/>
    <x v="0"/>
    <n v="4337"/>
    <n v="3817"/>
    <n v="3.46"/>
    <n v="45"/>
  </r>
  <r>
    <s v="S1621"/>
    <x v="621"/>
    <x v="3"/>
    <x v="0"/>
    <s v="3/21/2023"/>
    <x v="0"/>
    <n v="10462"/>
    <n v="5148"/>
    <n v="3.84"/>
    <n v="100"/>
  </r>
  <r>
    <s v="S1622"/>
    <x v="622"/>
    <x v="7"/>
    <x v="0"/>
    <d v="2022-06-04T00:00:00"/>
    <x v="0"/>
    <n v="3395"/>
    <n v="776"/>
    <n v="3.15"/>
    <n v="111"/>
  </r>
  <r>
    <s v="S1623"/>
    <x v="623"/>
    <x v="2"/>
    <x v="0"/>
    <s v="11/23/2023"/>
    <x v="1"/>
    <n v="4517"/>
    <n v="4565"/>
    <n v="2.2999999999999998"/>
    <n v="10"/>
  </r>
  <r>
    <s v="S1624"/>
    <x v="624"/>
    <x v="5"/>
    <x v="1"/>
    <s v="6/15/2024"/>
    <x v="0"/>
    <n v="13029"/>
    <n v="8730"/>
    <n v="3.5"/>
    <n v="38"/>
  </r>
  <r>
    <s v="S1625"/>
    <x v="625"/>
    <x v="4"/>
    <x v="3"/>
    <d v="2023-06-05T00:00:00"/>
    <x v="1"/>
    <n v="10361"/>
    <n v="8648"/>
    <n v="2.52"/>
    <n v="19"/>
  </r>
  <r>
    <s v="S1626"/>
    <x v="626"/>
    <x v="6"/>
    <x v="2"/>
    <s v="6/24/2023"/>
    <x v="0"/>
    <n v="9360"/>
    <n v="9308"/>
    <n v="2.3199999999999998"/>
    <n v="114"/>
  </r>
  <r>
    <s v="S1627"/>
    <x v="627"/>
    <x v="4"/>
    <x v="2"/>
    <s v="8/24/2023"/>
    <x v="1"/>
    <n v="8250"/>
    <n v="77"/>
    <n v="3.47"/>
    <n v="98"/>
  </r>
  <r>
    <s v="S1628"/>
    <x v="628"/>
    <x v="4"/>
    <x v="1"/>
    <s v="4/30/2023"/>
    <x v="0"/>
    <n v="6986"/>
    <n v="1773"/>
    <n v="3.12"/>
    <n v="106"/>
  </r>
  <r>
    <s v="S1629"/>
    <x v="629"/>
    <x v="5"/>
    <x v="1"/>
    <d v="2023-01-01T00:00:00"/>
    <x v="1"/>
    <n v="14012"/>
    <n v="7567"/>
    <n v="2.29"/>
    <n v="86"/>
  </r>
  <r>
    <s v="S1630"/>
    <x v="630"/>
    <x v="5"/>
    <x v="0"/>
    <s v="2/22/2023"/>
    <x v="0"/>
    <n v="6769"/>
    <n v="2409"/>
    <n v="2.2999999999999998"/>
    <n v="57"/>
  </r>
  <r>
    <s v="S1631"/>
    <x v="631"/>
    <x v="1"/>
    <x v="0"/>
    <d v="2024-10-06T00:00:00"/>
    <x v="0"/>
    <n v="3621"/>
    <n v="3198"/>
    <n v="3.45"/>
    <n v="16"/>
  </r>
  <r>
    <s v="S1632"/>
    <x v="632"/>
    <x v="6"/>
    <x v="2"/>
    <s v="5/20/2022"/>
    <x v="2"/>
    <n v="14499"/>
    <n v="2164"/>
    <n v="2.4"/>
    <n v="21"/>
  </r>
  <r>
    <s v="S1633"/>
    <x v="633"/>
    <x v="1"/>
    <x v="3"/>
    <s v="6/19/2023"/>
    <x v="0"/>
    <n v="4859"/>
    <n v="250"/>
    <n v="3.26"/>
    <n v="99"/>
  </r>
  <r>
    <s v="S1634"/>
    <x v="634"/>
    <x v="4"/>
    <x v="0"/>
    <s v="9/23/2022"/>
    <x v="1"/>
    <n v="3080"/>
    <n v="9821"/>
    <n v="2.33"/>
    <n v="94"/>
  </r>
  <r>
    <s v="S1635"/>
    <x v="635"/>
    <x v="6"/>
    <x v="2"/>
    <d v="2023-07-01T00:00:00"/>
    <x v="1"/>
    <n v="10910"/>
    <n v="3649"/>
    <n v="3.02"/>
    <n v="70"/>
  </r>
  <r>
    <s v="S1636"/>
    <x v="636"/>
    <x v="4"/>
    <x v="0"/>
    <s v="11/29/2022"/>
    <x v="0"/>
    <n v="12516"/>
    <n v="1881"/>
    <n v="3.86"/>
    <n v="98"/>
  </r>
  <r>
    <s v="S1637"/>
    <x v="637"/>
    <x v="4"/>
    <x v="2"/>
    <s v="10/25/2023"/>
    <x v="0"/>
    <n v="3587"/>
    <n v="9014"/>
    <n v="2.34"/>
    <n v="57"/>
  </r>
  <r>
    <s v="S1638"/>
    <x v="638"/>
    <x v="6"/>
    <x v="3"/>
    <s v="2/20/2024"/>
    <x v="1"/>
    <n v="13307"/>
    <n v="66"/>
    <n v="2.4900000000000002"/>
    <n v="99"/>
  </r>
  <r>
    <s v="S1639"/>
    <x v="639"/>
    <x v="5"/>
    <x v="1"/>
    <s v="12/25/2022"/>
    <x v="1"/>
    <n v="4132"/>
    <n v="6404"/>
    <n v="2.63"/>
    <n v="114"/>
  </r>
  <r>
    <s v="S1640"/>
    <x v="640"/>
    <x v="6"/>
    <x v="1"/>
    <d v="2022-12-05T00:00:00"/>
    <x v="0"/>
    <n v="5391"/>
    <n v="7710"/>
    <n v="3.61"/>
    <n v="37"/>
  </r>
  <r>
    <s v="S1641"/>
    <x v="641"/>
    <x v="7"/>
    <x v="1"/>
    <d v="2022-01-10T00:00:00"/>
    <x v="1"/>
    <n v="4790"/>
    <n v="5633"/>
    <n v="2.11"/>
    <n v="52"/>
  </r>
  <r>
    <s v="S1642"/>
    <x v="642"/>
    <x v="5"/>
    <x v="3"/>
    <d v="2022-09-12T00:00:00"/>
    <x v="0"/>
    <n v="13302"/>
    <n v="9211"/>
    <n v="2.5"/>
    <n v="98"/>
  </r>
  <r>
    <s v="S1643"/>
    <x v="643"/>
    <x v="6"/>
    <x v="0"/>
    <s v="5/23/2024"/>
    <x v="0"/>
    <n v="9424"/>
    <n v="2947"/>
    <n v="2.5"/>
    <n v="86"/>
  </r>
  <r>
    <s v="S1644"/>
    <x v="644"/>
    <x v="0"/>
    <x v="2"/>
    <d v="2023-07-03T00:00:00"/>
    <x v="0"/>
    <n v="13660"/>
    <n v="1268"/>
    <n v="3.06"/>
    <n v="98"/>
  </r>
  <r>
    <s v="S1645"/>
    <x v="645"/>
    <x v="1"/>
    <x v="1"/>
    <s v="4/22/2023"/>
    <x v="0"/>
    <n v="2789"/>
    <n v="469"/>
    <n v="3.93"/>
    <n v="22"/>
  </r>
  <r>
    <s v="S1646"/>
    <x v="646"/>
    <x v="6"/>
    <x v="3"/>
    <d v="2022-06-06T00:00:00"/>
    <x v="1"/>
    <n v="14573"/>
    <n v="2083"/>
    <n v="2.67"/>
    <n v="115"/>
  </r>
  <r>
    <s v="S1647"/>
    <x v="647"/>
    <x v="2"/>
    <x v="2"/>
    <d v="2022-05-03T00:00:00"/>
    <x v="0"/>
    <n v="4580"/>
    <n v="2043"/>
    <n v="2.02"/>
    <n v="100"/>
  </r>
  <r>
    <s v="S1648"/>
    <x v="648"/>
    <x v="6"/>
    <x v="0"/>
    <s v="6/28/2022"/>
    <x v="0"/>
    <n v="8254"/>
    <n v="4272"/>
    <n v="2.2599999999999998"/>
    <n v="5"/>
  </r>
  <r>
    <s v="S1649"/>
    <x v="649"/>
    <x v="4"/>
    <x v="1"/>
    <d v="2023-12-01T00:00:00"/>
    <x v="2"/>
    <n v="5234"/>
    <n v="134"/>
    <n v="3.59"/>
    <n v="100"/>
  </r>
  <r>
    <s v="S1650"/>
    <x v="650"/>
    <x v="3"/>
    <x v="2"/>
    <s v="12/21/2022"/>
    <x v="0"/>
    <n v="5237"/>
    <n v="5339"/>
    <n v="3.07"/>
    <n v="65"/>
  </r>
  <r>
    <s v="S1651"/>
    <x v="651"/>
    <x v="6"/>
    <x v="3"/>
    <s v="9/14/2022"/>
    <x v="1"/>
    <n v="6803"/>
    <n v="5852"/>
    <n v="2.89"/>
    <n v="35"/>
  </r>
  <r>
    <s v="S1652"/>
    <x v="652"/>
    <x v="1"/>
    <x v="1"/>
    <d v="2022-02-01T00:00:00"/>
    <x v="0"/>
    <n v="3355"/>
    <n v="1493"/>
    <n v="3.49"/>
    <n v="102"/>
  </r>
  <r>
    <s v="S1653"/>
    <x v="653"/>
    <x v="6"/>
    <x v="1"/>
    <s v="12/28/2022"/>
    <x v="1"/>
    <n v="13586"/>
    <n v="6814"/>
    <n v="2.67"/>
    <n v="118"/>
  </r>
  <r>
    <s v="S1654"/>
    <x v="654"/>
    <x v="7"/>
    <x v="2"/>
    <s v="7/27/2023"/>
    <x v="0"/>
    <n v="7191"/>
    <n v="5791"/>
    <n v="2.06"/>
    <n v="10"/>
  </r>
  <r>
    <s v="S1655"/>
    <x v="655"/>
    <x v="5"/>
    <x v="3"/>
    <d v="2023-10-01T00:00:00"/>
    <x v="1"/>
    <n v="2088"/>
    <n v="9067"/>
    <n v="2.82"/>
    <n v="48"/>
  </r>
  <r>
    <s v="S1656"/>
    <x v="656"/>
    <x v="1"/>
    <x v="2"/>
    <s v="5/19/2024"/>
    <x v="0"/>
    <n v="8068"/>
    <n v="5741"/>
    <n v="3.01"/>
    <n v="13"/>
  </r>
  <r>
    <s v="S1657"/>
    <x v="657"/>
    <x v="1"/>
    <x v="0"/>
    <d v="2023-06-10T00:00:00"/>
    <x v="0"/>
    <n v="9351"/>
    <n v="3044"/>
    <n v="2.15"/>
    <n v="0"/>
  </r>
  <r>
    <s v="S1658"/>
    <x v="658"/>
    <x v="1"/>
    <x v="1"/>
    <s v="2/15/2022"/>
    <x v="0"/>
    <n v="13082"/>
    <n v="4263"/>
    <n v="2.12"/>
    <n v="80"/>
  </r>
  <r>
    <s v="S1659"/>
    <x v="659"/>
    <x v="7"/>
    <x v="3"/>
    <s v="3/30/2022"/>
    <x v="2"/>
    <n v="7721"/>
    <n v="5545"/>
    <n v="2.89"/>
    <n v="18"/>
  </r>
  <r>
    <s v="S1660"/>
    <x v="660"/>
    <x v="7"/>
    <x v="3"/>
    <s v="5/27/2023"/>
    <x v="1"/>
    <n v="10644"/>
    <n v="3148"/>
    <n v="3.04"/>
    <n v="34"/>
  </r>
  <r>
    <s v="S1661"/>
    <x v="661"/>
    <x v="2"/>
    <x v="1"/>
    <s v="9/30/2023"/>
    <x v="0"/>
    <n v="10752"/>
    <n v="6829"/>
    <n v="2.9"/>
    <n v="67"/>
  </r>
  <r>
    <s v="S1662"/>
    <x v="662"/>
    <x v="1"/>
    <x v="0"/>
    <s v="9/21/2023"/>
    <x v="1"/>
    <n v="3252"/>
    <n v="5292"/>
    <n v="2.66"/>
    <n v="80"/>
  </r>
  <r>
    <s v="S1663"/>
    <x v="663"/>
    <x v="1"/>
    <x v="3"/>
    <s v="5/31/2022"/>
    <x v="0"/>
    <n v="11497"/>
    <n v="273"/>
    <n v="2.9"/>
    <n v="47"/>
  </r>
  <r>
    <s v="S1664"/>
    <x v="664"/>
    <x v="7"/>
    <x v="0"/>
    <s v="7/31/2023"/>
    <x v="0"/>
    <n v="7089"/>
    <n v="6857"/>
    <n v="3.75"/>
    <n v="113"/>
  </r>
  <r>
    <s v="S1665"/>
    <x v="665"/>
    <x v="1"/>
    <x v="1"/>
    <d v="2023-02-02T00:00:00"/>
    <x v="1"/>
    <n v="5893"/>
    <n v="55"/>
    <n v="3.15"/>
    <n v="8"/>
  </r>
  <r>
    <s v="S1666"/>
    <x v="666"/>
    <x v="4"/>
    <x v="0"/>
    <d v="2022-11-07T00:00:00"/>
    <x v="0"/>
    <n v="4330"/>
    <n v="6146"/>
    <n v="3.95"/>
    <n v="81"/>
  </r>
  <r>
    <s v="S1667"/>
    <x v="667"/>
    <x v="3"/>
    <x v="2"/>
    <s v="9/26/2023"/>
    <x v="0"/>
    <n v="3810"/>
    <n v="5081"/>
    <n v="3.16"/>
    <n v="66"/>
  </r>
  <r>
    <s v="S1668"/>
    <x v="668"/>
    <x v="3"/>
    <x v="1"/>
    <s v="10/22/2022"/>
    <x v="1"/>
    <n v="3315"/>
    <n v="3738"/>
    <n v="3.26"/>
    <n v="117"/>
  </r>
  <r>
    <s v="S1669"/>
    <x v="669"/>
    <x v="0"/>
    <x v="2"/>
    <d v="2022-08-02T00:00:00"/>
    <x v="1"/>
    <n v="9949"/>
    <n v="1090"/>
    <n v="3.17"/>
    <n v="54"/>
  </r>
  <r>
    <s v="S1670"/>
    <x v="670"/>
    <x v="3"/>
    <x v="0"/>
    <s v="10/13/2023"/>
    <x v="0"/>
    <n v="2894"/>
    <n v="8868"/>
    <n v="3.96"/>
    <n v="30"/>
  </r>
  <r>
    <s v="S1671"/>
    <x v="671"/>
    <x v="2"/>
    <x v="1"/>
    <s v="5/25/2023"/>
    <x v="2"/>
    <n v="4013"/>
    <n v="4029"/>
    <n v="3.59"/>
    <n v="6"/>
  </r>
  <r>
    <s v="S1672"/>
    <x v="672"/>
    <x v="2"/>
    <x v="2"/>
    <s v="3/20/2022"/>
    <x v="1"/>
    <n v="5273"/>
    <n v="9237"/>
    <n v="2.59"/>
    <n v="95"/>
  </r>
  <r>
    <s v="S1673"/>
    <x v="673"/>
    <x v="6"/>
    <x v="1"/>
    <s v="9/21/2023"/>
    <x v="0"/>
    <n v="10298"/>
    <n v="1382"/>
    <n v="2.67"/>
    <n v="88"/>
  </r>
  <r>
    <s v="S1674"/>
    <x v="674"/>
    <x v="5"/>
    <x v="0"/>
    <d v="2022-07-02T00:00:00"/>
    <x v="0"/>
    <n v="9592"/>
    <n v="944"/>
    <n v="2.1"/>
    <n v="71"/>
  </r>
  <r>
    <s v="S1675"/>
    <x v="675"/>
    <x v="5"/>
    <x v="0"/>
    <s v="9/13/2022"/>
    <x v="0"/>
    <n v="12383"/>
    <n v="6864"/>
    <n v="2.78"/>
    <n v="38"/>
  </r>
  <r>
    <s v="S1676"/>
    <x v="676"/>
    <x v="3"/>
    <x v="3"/>
    <d v="2022-10-08T00:00:00"/>
    <x v="0"/>
    <n v="10703"/>
    <n v="1138"/>
    <n v="3.49"/>
    <n v="107"/>
  </r>
  <r>
    <s v="S1677"/>
    <x v="677"/>
    <x v="5"/>
    <x v="0"/>
    <d v="2023-05-03T00:00:00"/>
    <x v="0"/>
    <n v="12060"/>
    <n v="6306"/>
    <n v="3.77"/>
    <n v="48"/>
  </r>
  <r>
    <s v="S1678"/>
    <x v="678"/>
    <x v="7"/>
    <x v="3"/>
    <s v="6/17/2024"/>
    <x v="0"/>
    <n v="5192"/>
    <n v="7911"/>
    <n v="2.4700000000000002"/>
    <n v="88"/>
  </r>
  <r>
    <s v="S1679"/>
    <x v="679"/>
    <x v="4"/>
    <x v="2"/>
    <s v="3/16/2022"/>
    <x v="0"/>
    <n v="3356"/>
    <n v="4096"/>
    <n v="2.74"/>
    <n v="98"/>
  </r>
  <r>
    <s v="S1680"/>
    <x v="680"/>
    <x v="1"/>
    <x v="2"/>
    <s v="3/17/2023"/>
    <x v="1"/>
    <n v="6141"/>
    <n v="1714"/>
    <n v="2.58"/>
    <n v="100"/>
  </r>
  <r>
    <s v="S1681"/>
    <x v="681"/>
    <x v="0"/>
    <x v="1"/>
    <d v="2024-07-04T00:00:00"/>
    <x v="0"/>
    <n v="5110"/>
    <n v="1350"/>
    <n v="3.06"/>
    <n v="77"/>
  </r>
  <r>
    <s v="S1682"/>
    <x v="682"/>
    <x v="4"/>
    <x v="1"/>
    <s v="2/18/2024"/>
    <x v="0"/>
    <n v="10080"/>
    <n v="4930"/>
    <n v="3.17"/>
    <n v="73"/>
  </r>
  <r>
    <s v="S1683"/>
    <x v="683"/>
    <x v="1"/>
    <x v="1"/>
    <d v="2022-04-02T00:00:00"/>
    <x v="0"/>
    <n v="7513"/>
    <n v="1653"/>
    <n v="3.05"/>
    <n v="73"/>
  </r>
  <r>
    <s v="S1684"/>
    <x v="684"/>
    <x v="4"/>
    <x v="1"/>
    <s v="12/25/2023"/>
    <x v="0"/>
    <n v="8227"/>
    <n v="4734"/>
    <n v="3.1"/>
    <n v="50"/>
  </r>
  <r>
    <s v="S1685"/>
    <x v="685"/>
    <x v="6"/>
    <x v="0"/>
    <s v="12/25/2023"/>
    <x v="0"/>
    <n v="13129"/>
    <n v="7800"/>
    <n v="3.5"/>
    <n v="116"/>
  </r>
  <r>
    <s v="S1686"/>
    <x v="686"/>
    <x v="4"/>
    <x v="1"/>
    <d v="2022-10-12T00:00:00"/>
    <x v="2"/>
    <n v="10408"/>
    <n v="1245"/>
    <n v="2.78"/>
    <n v="72"/>
  </r>
  <r>
    <s v="S1687"/>
    <x v="687"/>
    <x v="4"/>
    <x v="0"/>
    <s v="10/17/2023"/>
    <x v="1"/>
    <n v="7270"/>
    <n v="4035"/>
    <n v="2.2000000000000002"/>
    <n v="10"/>
  </r>
  <r>
    <s v="S1688"/>
    <x v="688"/>
    <x v="5"/>
    <x v="1"/>
    <s v="3/28/2022"/>
    <x v="0"/>
    <n v="2730"/>
    <n v="6097"/>
    <n v="2.09"/>
    <n v="70"/>
  </r>
  <r>
    <s v="S1689"/>
    <x v="689"/>
    <x v="4"/>
    <x v="1"/>
    <d v="2022-03-06T00:00:00"/>
    <x v="1"/>
    <n v="11096"/>
    <n v="3961"/>
    <n v="3.9"/>
    <n v="48"/>
  </r>
  <r>
    <s v="S1690"/>
    <x v="690"/>
    <x v="5"/>
    <x v="1"/>
    <d v="2024-11-03T00:00:00"/>
    <x v="1"/>
    <n v="14406"/>
    <n v="3386"/>
    <n v="3.04"/>
    <n v="109"/>
  </r>
  <r>
    <s v="S1691"/>
    <x v="691"/>
    <x v="1"/>
    <x v="2"/>
    <s v="11/21/2023"/>
    <x v="1"/>
    <n v="11296"/>
    <n v="6755"/>
    <n v="2.86"/>
    <n v="112"/>
  </r>
  <r>
    <s v="S1692"/>
    <x v="692"/>
    <x v="3"/>
    <x v="1"/>
    <s v="10/21/2023"/>
    <x v="2"/>
    <n v="12851"/>
    <n v="8600"/>
    <n v="3.36"/>
    <n v="15"/>
  </r>
  <r>
    <s v="S1693"/>
    <x v="693"/>
    <x v="5"/>
    <x v="2"/>
    <s v="7/27/2023"/>
    <x v="1"/>
    <n v="6804"/>
    <n v="4521"/>
    <n v="3.77"/>
    <n v="2"/>
  </r>
  <r>
    <s v="S1694"/>
    <x v="694"/>
    <x v="3"/>
    <x v="3"/>
    <s v="3/17/2022"/>
    <x v="0"/>
    <n v="3504"/>
    <n v="7053"/>
    <n v="2.31"/>
    <n v="101"/>
  </r>
  <r>
    <s v="S1695"/>
    <x v="695"/>
    <x v="6"/>
    <x v="2"/>
    <d v="2022-09-11T00:00:00"/>
    <x v="1"/>
    <n v="13244"/>
    <n v="5499"/>
    <n v="2.0299999999999998"/>
    <n v="44"/>
  </r>
  <r>
    <s v="S1696"/>
    <x v="696"/>
    <x v="0"/>
    <x v="1"/>
    <d v="2022-02-12T00:00:00"/>
    <x v="1"/>
    <n v="14717"/>
    <n v="290"/>
    <n v="3.78"/>
    <n v="97"/>
  </r>
  <r>
    <s v="S1697"/>
    <x v="697"/>
    <x v="7"/>
    <x v="1"/>
    <s v="11/14/2023"/>
    <x v="0"/>
    <n v="9722"/>
    <n v="7356"/>
    <n v="2.5"/>
    <n v="53"/>
  </r>
  <r>
    <s v="S1698"/>
    <x v="698"/>
    <x v="4"/>
    <x v="0"/>
    <d v="2024-08-02T00:00:00"/>
    <x v="0"/>
    <n v="12801"/>
    <n v="8270"/>
    <n v="2.58"/>
    <n v="57"/>
  </r>
  <r>
    <s v="S1699"/>
    <x v="699"/>
    <x v="0"/>
    <x v="1"/>
    <d v="2022-03-07T00:00:00"/>
    <x v="0"/>
    <n v="3650"/>
    <n v="137"/>
    <n v="2.64"/>
    <n v="4"/>
  </r>
  <r>
    <s v="S1700"/>
    <x v="700"/>
    <x v="7"/>
    <x v="2"/>
    <d v="2023-01-06T00:00:00"/>
    <x v="2"/>
    <n v="8042"/>
    <n v="5884"/>
    <n v="3.91"/>
    <n v="37"/>
  </r>
  <r>
    <s v="S1701"/>
    <x v="701"/>
    <x v="3"/>
    <x v="0"/>
    <s v="3/16/2022"/>
    <x v="1"/>
    <n v="4253"/>
    <n v="7291"/>
    <n v="3.66"/>
    <n v="113"/>
  </r>
  <r>
    <s v="S1702"/>
    <x v="702"/>
    <x v="5"/>
    <x v="0"/>
    <s v="10/13/2023"/>
    <x v="0"/>
    <n v="7568"/>
    <n v="6300"/>
    <n v="3.11"/>
    <n v="25"/>
  </r>
  <r>
    <s v="S1703"/>
    <x v="703"/>
    <x v="5"/>
    <x v="1"/>
    <s v="1/18/2023"/>
    <x v="0"/>
    <n v="12595"/>
    <n v="5062"/>
    <n v="2.6"/>
    <n v="66"/>
  </r>
  <r>
    <s v="S1704"/>
    <x v="704"/>
    <x v="5"/>
    <x v="3"/>
    <s v="8/28/2023"/>
    <x v="0"/>
    <n v="13552"/>
    <n v="9582"/>
    <n v="2.4300000000000002"/>
    <n v="10"/>
  </r>
  <r>
    <s v="S1705"/>
    <x v="705"/>
    <x v="3"/>
    <x v="3"/>
    <s v="9/15/2023"/>
    <x v="0"/>
    <n v="12316"/>
    <n v="5027"/>
    <n v="2.77"/>
    <n v="23"/>
  </r>
  <r>
    <s v="S1706"/>
    <x v="706"/>
    <x v="4"/>
    <x v="2"/>
    <d v="2023-04-05T00:00:00"/>
    <x v="0"/>
    <n v="13723"/>
    <n v="8461"/>
    <n v="2.46"/>
    <n v="58"/>
  </r>
  <r>
    <s v="S1707"/>
    <x v="707"/>
    <x v="0"/>
    <x v="0"/>
    <s v="12/26/2022"/>
    <x v="0"/>
    <n v="7398"/>
    <n v="5789"/>
    <n v="3.81"/>
    <n v="90"/>
  </r>
  <r>
    <s v="S1708"/>
    <x v="708"/>
    <x v="6"/>
    <x v="2"/>
    <d v="2023-01-12T00:00:00"/>
    <x v="1"/>
    <n v="11190"/>
    <n v="33"/>
    <n v="2.81"/>
    <n v="79"/>
  </r>
  <r>
    <s v="S1709"/>
    <x v="709"/>
    <x v="7"/>
    <x v="1"/>
    <d v="2022-12-03T00:00:00"/>
    <x v="1"/>
    <n v="11686"/>
    <n v="869"/>
    <n v="3.04"/>
    <n v="25"/>
  </r>
  <r>
    <s v="S1710"/>
    <x v="710"/>
    <x v="4"/>
    <x v="2"/>
    <s v="12/13/2023"/>
    <x v="0"/>
    <n v="10158"/>
    <n v="9319"/>
    <n v="3"/>
    <n v="19"/>
  </r>
  <r>
    <s v="S1711"/>
    <x v="711"/>
    <x v="3"/>
    <x v="0"/>
    <s v="3/13/2022"/>
    <x v="2"/>
    <n v="3088"/>
    <n v="2439"/>
    <n v="2.4700000000000002"/>
    <n v="113"/>
  </r>
  <r>
    <s v="S1712"/>
    <x v="712"/>
    <x v="0"/>
    <x v="1"/>
    <s v="8/15/2023"/>
    <x v="0"/>
    <n v="2510"/>
    <n v="8919"/>
    <n v="3.72"/>
    <n v="98"/>
  </r>
  <r>
    <s v="S1713"/>
    <x v="713"/>
    <x v="6"/>
    <x v="2"/>
    <s v="12/26/2022"/>
    <x v="2"/>
    <n v="2925"/>
    <n v="3209"/>
    <n v="2.88"/>
    <n v="59"/>
  </r>
  <r>
    <s v="S1714"/>
    <x v="714"/>
    <x v="4"/>
    <x v="0"/>
    <d v="2022-07-02T00:00:00"/>
    <x v="0"/>
    <n v="10388"/>
    <n v="2667"/>
    <n v="3.62"/>
    <n v="35"/>
  </r>
  <r>
    <s v="S1715"/>
    <x v="715"/>
    <x v="1"/>
    <x v="3"/>
    <s v="11/15/2022"/>
    <x v="1"/>
    <n v="7318"/>
    <n v="8381"/>
    <n v="2.86"/>
    <n v="88"/>
  </r>
  <r>
    <s v="S1716"/>
    <x v="716"/>
    <x v="5"/>
    <x v="2"/>
    <s v="9/26/2023"/>
    <x v="1"/>
    <n v="9113"/>
    <n v="5810"/>
    <n v="3.84"/>
    <n v="86"/>
  </r>
  <r>
    <s v="S1717"/>
    <x v="717"/>
    <x v="5"/>
    <x v="3"/>
    <d v="2022-01-04T00:00:00"/>
    <x v="0"/>
    <n v="6712"/>
    <n v="1250"/>
    <n v="2.1800000000000002"/>
    <n v="10"/>
  </r>
  <r>
    <s v="S1718"/>
    <x v="718"/>
    <x v="7"/>
    <x v="3"/>
    <d v="2023-11-09T00:00:00"/>
    <x v="0"/>
    <n v="3350"/>
    <n v="107"/>
    <n v="2.92"/>
    <n v="109"/>
  </r>
  <r>
    <s v="S1719"/>
    <x v="719"/>
    <x v="5"/>
    <x v="2"/>
    <d v="2022-11-12T00:00:00"/>
    <x v="1"/>
    <n v="2209"/>
    <n v="2392"/>
    <n v="3.49"/>
    <n v="66"/>
  </r>
  <r>
    <s v="S1720"/>
    <x v="720"/>
    <x v="4"/>
    <x v="2"/>
    <s v="9/24/2022"/>
    <x v="0"/>
    <n v="13928"/>
    <n v="6933"/>
    <n v="3.37"/>
    <n v="64"/>
  </r>
  <r>
    <s v="S1721"/>
    <x v="721"/>
    <x v="0"/>
    <x v="2"/>
    <s v="10/28/2023"/>
    <x v="0"/>
    <n v="9516"/>
    <n v="729"/>
    <n v="3.16"/>
    <n v="96"/>
  </r>
  <r>
    <s v="S1722"/>
    <x v="722"/>
    <x v="5"/>
    <x v="3"/>
    <s v="1/30/2022"/>
    <x v="0"/>
    <n v="5145"/>
    <n v="6014"/>
    <n v="2.98"/>
    <n v="32"/>
  </r>
  <r>
    <s v="S1723"/>
    <x v="723"/>
    <x v="4"/>
    <x v="0"/>
    <s v="7/13/2022"/>
    <x v="1"/>
    <n v="6799"/>
    <n v="1246"/>
    <n v="3.07"/>
    <n v="45"/>
  </r>
  <r>
    <s v="S1724"/>
    <x v="724"/>
    <x v="6"/>
    <x v="1"/>
    <s v="1/30/2023"/>
    <x v="0"/>
    <n v="7388"/>
    <n v="9272"/>
    <n v="3.7"/>
    <n v="118"/>
  </r>
  <r>
    <s v="S1725"/>
    <x v="725"/>
    <x v="0"/>
    <x v="2"/>
    <s v="12/29/2023"/>
    <x v="0"/>
    <n v="2383"/>
    <n v="1670"/>
    <n v="2.82"/>
    <n v="8"/>
  </r>
  <r>
    <s v="S1726"/>
    <x v="726"/>
    <x v="6"/>
    <x v="1"/>
    <s v="2/13/2022"/>
    <x v="1"/>
    <n v="7853"/>
    <n v="8847"/>
    <n v="2.4300000000000002"/>
    <n v="4"/>
  </r>
  <r>
    <s v="S1727"/>
    <x v="727"/>
    <x v="5"/>
    <x v="0"/>
    <d v="2024-01-04T00:00:00"/>
    <x v="0"/>
    <n v="12713"/>
    <n v="352"/>
    <n v="3.92"/>
    <n v="95"/>
  </r>
  <r>
    <s v="S1728"/>
    <x v="728"/>
    <x v="7"/>
    <x v="3"/>
    <s v="9/17/2022"/>
    <x v="1"/>
    <n v="4256"/>
    <n v="1159"/>
    <n v="2.89"/>
    <n v="32"/>
  </r>
  <r>
    <s v="S1729"/>
    <x v="729"/>
    <x v="5"/>
    <x v="2"/>
    <s v="9/27/2022"/>
    <x v="0"/>
    <n v="9110"/>
    <n v="7109"/>
    <n v="3.07"/>
    <n v="103"/>
  </r>
  <r>
    <s v="S1730"/>
    <x v="730"/>
    <x v="4"/>
    <x v="1"/>
    <s v="1/23/2023"/>
    <x v="2"/>
    <n v="3316"/>
    <n v="7822"/>
    <n v="2.2799999999999998"/>
    <n v="110"/>
  </r>
  <r>
    <s v="S1731"/>
    <x v="731"/>
    <x v="1"/>
    <x v="3"/>
    <d v="2024-09-01T00:00:00"/>
    <x v="0"/>
    <n v="5395"/>
    <n v="4845"/>
    <n v="3.29"/>
    <n v="50"/>
  </r>
  <r>
    <s v="S1732"/>
    <x v="732"/>
    <x v="0"/>
    <x v="3"/>
    <d v="2024-01-02T00:00:00"/>
    <x v="0"/>
    <n v="13318"/>
    <n v="4842"/>
    <n v="3.79"/>
    <n v="45"/>
  </r>
  <r>
    <s v="S1733"/>
    <x v="733"/>
    <x v="4"/>
    <x v="0"/>
    <s v="8/27/2022"/>
    <x v="1"/>
    <n v="6241"/>
    <n v="5128"/>
    <n v="3.92"/>
    <n v="111"/>
  </r>
  <r>
    <s v="S1734"/>
    <x v="734"/>
    <x v="7"/>
    <x v="1"/>
    <s v="1/17/2022"/>
    <x v="0"/>
    <n v="8037"/>
    <n v="3076"/>
    <n v="2.75"/>
    <n v="28"/>
  </r>
  <r>
    <s v="S1735"/>
    <x v="735"/>
    <x v="6"/>
    <x v="1"/>
    <s v="6/19/2022"/>
    <x v="0"/>
    <n v="10127"/>
    <n v="4309"/>
    <n v="3.84"/>
    <n v="89"/>
  </r>
  <r>
    <s v="S1736"/>
    <x v="736"/>
    <x v="0"/>
    <x v="3"/>
    <s v="2/18/2023"/>
    <x v="0"/>
    <n v="12789"/>
    <n v="311"/>
    <n v="2.92"/>
    <n v="90"/>
  </r>
  <r>
    <s v="S1737"/>
    <x v="737"/>
    <x v="7"/>
    <x v="0"/>
    <d v="2022-07-06T00:00:00"/>
    <x v="0"/>
    <n v="10155"/>
    <n v="9072"/>
    <n v="3.99"/>
    <n v="38"/>
  </r>
  <r>
    <s v="S1738"/>
    <x v="738"/>
    <x v="7"/>
    <x v="2"/>
    <s v="2/18/2023"/>
    <x v="0"/>
    <n v="6971"/>
    <n v="6639"/>
    <n v="2.6"/>
    <n v="54"/>
  </r>
  <r>
    <s v="S1739"/>
    <x v="739"/>
    <x v="7"/>
    <x v="0"/>
    <d v="2022-04-02T00:00:00"/>
    <x v="0"/>
    <n v="9877"/>
    <n v="1236"/>
    <n v="3.69"/>
    <n v="25"/>
  </r>
  <r>
    <s v="S1740"/>
    <x v="740"/>
    <x v="1"/>
    <x v="1"/>
    <d v="2023-09-07T00:00:00"/>
    <x v="0"/>
    <n v="9561"/>
    <n v="5098"/>
    <n v="3.79"/>
    <n v="68"/>
  </r>
  <r>
    <s v="S1741"/>
    <x v="741"/>
    <x v="7"/>
    <x v="0"/>
    <s v="5/16/2022"/>
    <x v="0"/>
    <n v="6012"/>
    <n v="965"/>
    <n v="2.27"/>
    <n v="50"/>
  </r>
  <r>
    <s v="S1742"/>
    <x v="742"/>
    <x v="3"/>
    <x v="0"/>
    <d v="2023-10-08T00:00:00"/>
    <x v="0"/>
    <n v="12717"/>
    <n v="5005"/>
    <n v="3.55"/>
    <n v="61"/>
  </r>
  <r>
    <s v="S1743"/>
    <x v="743"/>
    <x v="4"/>
    <x v="1"/>
    <s v="5/16/2023"/>
    <x v="0"/>
    <n v="5344"/>
    <n v="2596"/>
    <n v="2.97"/>
    <n v="108"/>
  </r>
  <r>
    <s v="S1744"/>
    <x v="744"/>
    <x v="6"/>
    <x v="3"/>
    <s v="8/31/2022"/>
    <x v="0"/>
    <n v="2025"/>
    <n v="1760"/>
    <n v="3.27"/>
    <n v="23"/>
  </r>
  <r>
    <s v="S1745"/>
    <x v="745"/>
    <x v="1"/>
    <x v="2"/>
    <s v="10/17/2022"/>
    <x v="0"/>
    <n v="13185"/>
    <n v="8241"/>
    <n v="3.51"/>
    <n v="55"/>
  </r>
  <r>
    <s v="S1746"/>
    <x v="746"/>
    <x v="7"/>
    <x v="0"/>
    <s v="3/18/2024"/>
    <x v="0"/>
    <n v="3683"/>
    <n v="377"/>
    <n v="2.8"/>
    <n v="9"/>
  </r>
  <r>
    <s v="S1747"/>
    <x v="747"/>
    <x v="1"/>
    <x v="3"/>
    <d v="2023-10-06T00:00:00"/>
    <x v="0"/>
    <n v="6337"/>
    <n v="3748"/>
    <n v="2.79"/>
    <n v="38"/>
  </r>
  <r>
    <s v="S1748"/>
    <x v="748"/>
    <x v="4"/>
    <x v="0"/>
    <s v="9/20/2022"/>
    <x v="0"/>
    <n v="10576"/>
    <n v="4900"/>
    <n v="3.87"/>
    <n v="12"/>
  </r>
  <r>
    <s v="S1749"/>
    <x v="749"/>
    <x v="7"/>
    <x v="2"/>
    <d v="2023-05-06T00:00:00"/>
    <x v="1"/>
    <n v="13691"/>
    <n v="883"/>
    <n v="2.06"/>
    <n v="76"/>
  </r>
  <r>
    <s v="S1750"/>
    <x v="750"/>
    <x v="7"/>
    <x v="1"/>
    <s v="3/28/2024"/>
    <x v="0"/>
    <n v="10341"/>
    <n v="7548"/>
    <n v="2.59"/>
    <n v="55"/>
  </r>
  <r>
    <s v="S1751"/>
    <x v="751"/>
    <x v="7"/>
    <x v="1"/>
    <d v="2022-12-01T00:00:00"/>
    <x v="0"/>
    <n v="6833"/>
    <n v="3054"/>
    <n v="3.59"/>
    <n v="100"/>
  </r>
  <r>
    <s v="S1752"/>
    <x v="752"/>
    <x v="2"/>
    <x v="3"/>
    <d v="2024-09-01T00:00:00"/>
    <x v="0"/>
    <n v="11055"/>
    <n v="9037"/>
    <n v="3.57"/>
    <n v="60"/>
  </r>
  <r>
    <s v="S1753"/>
    <x v="753"/>
    <x v="7"/>
    <x v="3"/>
    <s v="11/30/2022"/>
    <x v="0"/>
    <n v="4932"/>
    <n v="5140"/>
    <n v="2.15"/>
    <n v="16"/>
  </r>
  <r>
    <s v="S1754"/>
    <x v="754"/>
    <x v="2"/>
    <x v="3"/>
    <d v="2024-01-06T00:00:00"/>
    <x v="0"/>
    <n v="11129"/>
    <n v="7535"/>
    <n v="2.5499999999999998"/>
    <n v="103"/>
  </r>
  <r>
    <s v="S1755"/>
    <x v="755"/>
    <x v="4"/>
    <x v="0"/>
    <s v="10/28/2022"/>
    <x v="2"/>
    <n v="6819"/>
    <n v="1912"/>
    <n v="3.5"/>
    <n v="106"/>
  </r>
  <r>
    <s v="S1756"/>
    <x v="756"/>
    <x v="4"/>
    <x v="0"/>
    <d v="2022-09-10T00:00:00"/>
    <x v="1"/>
    <n v="2016"/>
    <n v="3726"/>
    <n v="2.34"/>
    <n v="68"/>
  </r>
  <r>
    <s v="S1757"/>
    <x v="757"/>
    <x v="7"/>
    <x v="2"/>
    <d v="2022-05-05T00:00:00"/>
    <x v="1"/>
    <n v="4792"/>
    <n v="8258"/>
    <n v="2.34"/>
    <n v="62"/>
  </r>
  <r>
    <s v="S1758"/>
    <x v="758"/>
    <x v="7"/>
    <x v="2"/>
    <d v="2022-01-06T00:00:00"/>
    <x v="1"/>
    <n v="11623"/>
    <n v="4266"/>
    <n v="2.66"/>
    <n v="104"/>
  </r>
  <r>
    <s v="S1759"/>
    <x v="759"/>
    <x v="3"/>
    <x v="2"/>
    <s v="12/17/2022"/>
    <x v="0"/>
    <n v="8319"/>
    <n v="8308"/>
    <n v="2.27"/>
    <n v="50"/>
  </r>
  <r>
    <s v="S1760"/>
    <x v="760"/>
    <x v="0"/>
    <x v="0"/>
    <s v="4/29/2023"/>
    <x v="0"/>
    <n v="8191"/>
    <n v="3306"/>
    <n v="2.2400000000000002"/>
    <n v="73"/>
  </r>
  <r>
    <s v="S1761"/>
    <x v="761"/>
    <x v="2"/>
    <x v="0"/>
    <s v="8/29/2022"/>
    <x v="0"/>
    <n v="7244"/>
    <n v="2886"/>
    <n v="3.52"/>
    <n v="57"/>
  </r>
  <r>
    <s v="S1762"/>
    <x v="762"/>
    <x v="3"/>
    <x v="0"/>
    <s v="8/14/2022"/>
    <x v="0"/>
    <n v="9367"/>
    <n v="4635"/>
    <n v="3.44"/>
    <n v="74"/>
  </r>
  <r>
    <s v="S1763"/>
    <x v="763"/>
    <x v="3"/>
    <x v="0"/>
    <s v="1/20/2024"/>
    <x v="0"/>
    <n v="10808"/>
    <n v="7607"/>
    <n v="3.05"/>
    <n v="0"/>
  </r>
  <r>
    <s v="S1764"/>
    <x v="764"/>
    <x v="4"/>
    <x v="0"/>
    <s v="3/18/2023"/>
    <x v="0"/>
    <n v="8446"/>
    <n v="1368"/>
    <n v="2.1"/>
    <n v="112"/>
  </r>
  <r>
    <s v="S1765"/>
    <x v="765"/>
    <x v="4"/>
    <x v="0"/>
    <s v="12/25/2023"/>
    <x v="0"/>
    <n v="2490"/>
    <n v="8720"/>
    <n v="2.14"/>
    <n v="12"/>
  </r>
  <r>
    <s v="S1766"/>
    <x v="766"/>
    <x v="2"/>
    <x v="2"/>
    <s v="6/16/2022"/>
    <x v="1"/>
    <n v="11291"/>
    <n v="3997"/>
    <n v="2.1"/>
    <n v="74"/>
  </r>
  <r>
    <s v="S1767"/>
    <x v="767"/>
    <x v="4"/>
    <x v="1"/>
    <s v="9/20/2022"/>
    <x v="0"/>
    <n v="4470"/>
    <n v="5720"/>
    <n v="2.62"/>
    <n v="24"/>
  </r>
  <r>
    <s v="S1768"/>
    <x v="768"/>
    <x v="2"/>
    <x v="3"/>
    <s v="4/20/2023"/>
    <x v="2"/>
    <n v="8068"/>
    <n v="1190"/>
    <n v="3.28"/>
    <n v="39"/>
  </r>
  <r>
    <s v="S1769"/>
    <x v="769"/>
    <x v="6"/>
    <x v="1"/>
    <s v="7/23/2022"/>
    <x v="1"/>
    <n v="2556"/>
    <n v="3049"/>
    <n v="3.23"/>
    <n v="66"/>
  </r>
  <r>
    <s v="S1770"/>
    <x v="770"/>
    <x v="1"/>
    <x v="2"/>
    <d v="2023-06-10T00:00:00"/>
    <x v="1"/>
    <n v="13388"/>
    <n v="4708"/>
    <n v="2.65"/>
    <n v="114"/>
  </r>
  <r>
    <s v="S1771"/>
    <x v="771"/>
    <x v="2"/>
    <x v="0"/>
    <s v="2/28/2024"/>
    <x v="0"/>
    <n v="8490"/>
    <n v="5406"/>
    <n v="3.29"/>
    <n v="51"/>
  </r>
  <r>
    <s v="S1772"/>
    <x v="772"/>
    <x v="1"/>
    <x v="2"/>
    <d v="2024-04-03T00:00:00"/>
    <x v="0"/>
    <n v="5597"/>
    <n v="449"/>
    <n v="3.8"/>
    <n v="106"/>
  </r>
  <r>
    <s v="S1773"/>
    <x v="773"/>
    <x v="5"/>
    <x v="1"/>
    <s v="6/23/2022"/>
    <x v="1"/>
    <n v="3334"/>
    <n v="4265"/>
    <n v="2.79"/>
    <n v="49"/>
  </r>
  <r>
    <s v="S1774"/>
    <x v="774"/>
    <x v="3"/>
    <x v="3"/>
    <s v="2/25/2023"/>
    <x v="0"/>
    <n v="5127"/>
    <n v="1138"/>
    <n v="2.08"/>
    <n v="109"/>
  </r>
  <r>
    <s v="S1775"/>
    <x v="775"/>
    <x v="1"/>
    <x v="1"/>
    <s v="10/31/2023"/>
    <x v="1"/>
    <n v="5285"/>
    <n v="116"/>
    <n v="2.82"/>
    <n v="96"/>
  </r>
  <r>
    <s v="S1776"/>
    <x v="776"/>
    <x v="5"/>
    <x v="0"/>
    <d v="2022-02-03T00:00:00"/>
    <x v="1"/>
    <n v="13700"/>
    <n v="9745"/>
    <n v="3.99"/>
    <n v="32"/>
  </r>
  <r>
    <s v="S1777"/>
    <x v="777"/>
    <x v="5"/>
    <x v="2"/>
    <s v="11/18/2023"/>
    <x v="1"/>
    <n v="5236"/>
    <n v="2559"/>
    <n v="2.0299999999999998"/>
    <n v="28"/>
  </r>
  <r>
    <s v="S1778"/>
    <x v="778"/>
    <x v="4"/>
    <x v="3"/>
    <s v="9/14/2022"/>
    <x v="0"/>
    <n v="14446"/>
    <n v="6710"/>
    <n v="3.67"/>
    <n v="20"/>
  </r>
  <r>
    <s v="S1779"/>
    <x v="779"/>
    <x v="0"/>
    <x v="2"/>
    <d v="2024-02-01T00:00:00"/>
    <x v="0"/>
    <n v="9347"/>
    <n v="931"/>
    <n v="2.48"/>
    <n v="77"/>
  </r>
  <r>
    <s v="S1780"/>
    <x v="780"/>
    <x v="3"/>
    <x v="2"/>
    <d v="2022-10-10T00:00:00"/>
    <x v="0"/>
    <n v="7036"/>
    <n v="8702"/>
    <n v="2.81"/>
    <n v="92"/>
  </r>
  <r>
    <s v="S1781"/>
    <x v="781"/>
    <x v="1"/>
    <x v="0"/>
    <s v="9/27/2023"/>
    <x v="2"/>
    <n v="2807"/>
    <n v="4412"/>
    <n v="2.1"/>
    <n v="17"/>
  </r>
  <r>
    <s v="S1782"/>
    <x v="782"/>
    <x v="6"/>
    <x v="3"/>
    <d v="2022-11-01T00:00:00"/>
    <x v="1"/>
    <n v="4713"/>
    <n v="2905"/>
    <n v="2.68"/>
    <n v="83"/>
  </r>
  <r>
    <s v="S1783"/>
    <x v="783"/>
    <x v="2"/>
    <x v="3"/>
    <s v="6/23/2023"/>
    <x v="0"/>
    <n v="8738"/>
    <n v="8784"/>
    <n v="3.88"/>
    <n v="29"/>
  </r>
  <r>
    <s v="S1784"/>
    <x v="784"/>
    <x v="3"/>
    <x v="2"/>
    <s v="10/19/2023"/>
    <x v="0"/>
    <n v="5873"/>
    <n v="6663"/>
    <n v="2.68"/>
    <n v="60"/>
  </r>
  <r>
    <s v="S1785"/>
    <x v="785"/>
    <x v="2"/>
    <x v="3"/>
    <s v="8/14/2023"/>
    <x v="0"/>
    <n v="2955"/>
    <n v="3577"/>
    <n v="3.87"/>
    <n v="92"/>
  </r>
  <r>
    <s v="S1786"/>
    <x v="786"/>
    <x v="0"/>
    <x v="0"/>
    <s v="9/20/2023"/>
    <x v="1"/>
    <n v="14511"/>
    <n v="7022"/>
    <n v="3.28"/>
    <n v="66"/>
  </r>
  <r>
    <s v="S1787"/>
    <x v="787"/>
    <x v="4"/>
    <x v="0"/>
    <s v="3/28/2024"/>
    <x v="0"/>
    <n v="5957"/>
    <n v="5173"/>
    <n v="2.11"/>
    <n v="76"/>
  </r>
  <r>
    <s v="S1788"/>
    <x v="788"/>
    <x v="5"/>
    <x v="1"/>
    <d v="2023-06-10T00:00:00"/>
    <x v="0"/>
    <n v="12871"/>
    <n v="6263"/>
    <n v="2.78"/>
    <n v="55"/>
  </r>
  <r>
    <s v="S1789"/>
    <x v="789"/>
    <x v="3"/>
    <x v="0"/>
    <d v="2023-05-12T00:00:00"/>
    <x v="0"/>
    <n v="10218"/>
    <n v="2605"/>
    <n v="2.38"/>
    <n v="103"/>
  </r>
  <r>
    <s v="S1790"/>
    <x v="790"/>
    <x v="1"/>
    <x v="0"/>
    <d v="2023-03-11T00:00:00"/>
    <x v="1"/>
    <n v="6960"/>
    <n v="7251"/>
    <n v="3.64"/>
    <n v="23"/>
  </r>
  <r>
    <s v="S1791"/>
    <x v="791"/>
    <x v="4"/>
    <x v="2"/>
    <d v="2022-04-09T00:00:00"/>
    <x v="0"/>
    <n v="6829"/>
    <n v="4244"/>
    <n v="3.45"/>
    <n v="39"/>
  </r>
  <r>
    <s v="S1792"/>
    <x v="792"/>
    <x v="6"/>
    <x v="1"/>
    <d v="2024-01-06T00:00:00"/>
    <x v="0"/>
    <n v="9470"/>
    <n v="8209"/>
    <n v="2.23"/>
    <n v="17"/>
  </r>
  <r>
    <s v="S1793"/>
    <x v="793"/>
    <x v="7"/>
    <x v="1"/>
    <d v="2022-11-10T00:00:00"/>
    <x v="1"/>
    <n v="11385"/>
    <n v="4400"/>
    <n v="3.13"/>
    <n v="103"/>
  </r>
  <r>
    <s v="S1794"/>
    <x v="794"/>
    <x v="7"/>
    <x v="3"/>
    <d v="2024-03-02T00:00:00"/>
    <x v="2"/>
    <n v="6371"/>
    <n v="1413"/>
    <n v="2.0299999999999998"/>
    <n v="9"/>
  </r>
  <r>
    <s v="S1795"/>
    <x v="795"/>
    <x v="7"/>
    <x v="0"/>
    <s v="9/19/2023"/>
    <x v="0"/>
    <n v="12348"/>
    <n v="7249"/>
    <n v="3.99"/>
    <n v="86"/>
  </r>
  <r>
    <s v="S1796"/>
    <x v="796"/>
    <x v="3"/>
    <x v="0"/>
    <s v="5/22/2023"/>
    <x v="1"/>
    <n v="11630"/>
    <n v="4125"/>
    <n v="2.97"/>
    <n v="1"/>
  </r>
  <r>
    <s v="S1797"/>
    <x v="797"/>
    <x v="3"/>
    <x v="0"/>
    <s v="5/21/2024"/>
    <x v="0"/>
    <n v="8458"/>
    <n v="2663"/>
    <n v="3.13"/>
    <n v="103"/>
  </r>
  <r>
    <s v="S1798"/>
    <x v="798"/>
    <x v="4"/>
    <x v="3"/>
    <s v="11/28/2023"/>
    <x v="0"/>
    <n v="5481"/>
    <n v="3750"/>
    <n v="2.04"/>
    <n v="99"/>
  </r>
  <r>
    <s v="S1799"/>
    <x v="799"/>
    <x v="7"/>
    <x v="1"/>
    <s v="1/30/2023"/>
    <x v="0"/>
    <n v="9827"/>
    <n v="3072"/>
    <n v="3.6"/>
    <n v="9"/>
  </r>
  <r>
    <s v="S1800"/>
    <x v="800"/>
    <x v="3"/>
    <x v="0"/>
    <s v="10/14/2023"/>
    <x v="0"/>
    <n v="9017"/>
    <n v="2433"/>
    <n v="2.5"/>
    <n v="104"/>
  </r>
  <r>
    <s v="S1801"/>
    <x v="801"/>
    <x v="0"/>
    <x v="2"/>
    <s v="2/22/2023"/>
    <x v="0"/>
    <n v="7088"/>
    <n v="1865"/>
    <n v="3.1"/>
    <n v="13"/>
  </r>
  <r>
    <s v="S1802"/>
    <x v="802"/>
    <x v="7"/>
    <x v="1"/>
    <s v="10/20/2023"/>
    <x v="0"/>
    <n v="6708"/>
    <n v="3378"/>
    <n v="2.4500000000000002"/>
    <n v="116"/>
  </r>
  <r>
    <s v="S1803"/>
    <x v="803"/>
    <x v="7"/>
    <x v="3"/>
    <s v="10/20/2022"/>
    <x v="0"/>
    <n v="8649"/>
    <n v="259"/>
    <n v="3.8"/>
    <n v="104"/>
  </r>
  <r>
    <s v="S1804"/>
    <x v="804"/>
    <x v="4"/>
    <x v="0"/>
    <s v="4/18/2023"/>
    <x v="0"/>
    <n v="14403"/>
    <n v="6794"/>
    <n v="3.08"/>
    <n v="12"/>
  </r>
  <r>
    <s v="S1805"/>
    <x v="805"/>
    <x v="3"/>
    <x v="2"/>
    <s v="1/23/2024"/>
    <x v="0"/>
    <n v="6558"/>
    <n v="1313"/>
    <n v="3.07"/>
    <n v="41"/>
  </r>
  <r>
    <s v="S1806"/>
    <x v="806"/>
    <x v="7"/>
    <x v="2"/>
    <d v="2022-06-11T00:00:00"/>
    <x v="0"/>
    <n v="9997"/>
    <n v="9046"/>
    <n v="3.18"/>
    <n v="31"/>
  </r>
  <r>
    <s v="S1807"/>
    <x v="807"/>
    <x v="4"/>
    <x v="3"/>
    <s v="3/30/2024"/>
    <x v="0"/>
    <n v="2195"/>
    <n v="5801"/>
    <n v="3.09"/>
    <n v="29"/>
  </r>
  <r>
    <s v="S1808"/>
    <x v="808"/>
    <x v="2"/>
    <x v="0"/>
    <s v="1/18/2022"/>
    <x v="0"/>
    <n v="5342"/>
    <n v="8331"/>
    <n v="2.34"/>
    <n v="28"/>
  </r>
  <r>
    <s v="S1809"/>
    <x v="809"/>
    <x v="7"/>
    <x v="0"/>
    <d v="2022-11-03T00:00:00"/>
    <x v="1"/>
    <n v="8312"/>
    <n v="1608"/>
    <n v="2.66"/>
    <n v="60"/>
  </r>
  <r>
    <s v="S1810"/>
    <x v="810"/>
    <x v="3"/>
    <x v="0"/>
    <d v="2022-08-08T00:00:00"/>
    <x v="0"/>
    <n v="11533"/>
    <n v="3137"/>
    <n v="3.99"/>
    <n v="102"/>
  </r>
  <r>
    <s v="S1811"/>
    <x v="811"/>
    <x v="0"/>
    <x v="1"/>
    <s v="12/27/2022"/>
    <x v="0"/>
    <n v="13511"/>
    <n v="5464"/>
    <n v="3.98"/>
    <n v="28"/>
  </r>
  <r>
    <s v="S1812"/>
    <x v="812"/>
    <x v="2"/>
    <x v="1"/>
    <d v="2022-03-12T00:00:00"/>
    <x v="0"/>
    <n v="14695"/>
    <n v="6199"/>
    <n v="3.67"/>
    <n v="22"/>
  </r>
  <r>
    <s v="S1813"/>
    <x v="813"/>
    <x v="5"/>
    <x v="2"/>
    <d v="2022-06-09T00:00:00"/>
    <x v="0"/>
    <n v="4571"/>
    <n v="8871"/>
    <n v="2.04"/>
    <n v="94"/>
  </r>
  <r>
    <s v="S1814"/>
    <x v="814"/>
    <x v="0"/>
    <x v="2"/>
    <s v="3/24/2022"/>
    <x v="1"/>
    <n v="12837"/>
    <n v="5084"/>
    <n v="3.1"/>
    <n v="37"/>
  </r>
  <r>
    <s v="S1815"/>
    <x v="815"/>
    <x v="4"/>
    <x v="0"/>
    <s v="5/22/2024"/>
    <x v="1"/>
    <n v="3199"/>
    <n v="5772"/>
    <n v="2.14"/>
    <n v="5"/>
  </r>
  <r>
    <s v="S1816"/>
    <x v="816"/>
    <x v="0"/>
    <x v="2"/>
    <d v="2024-02-05T00:00:00"/>
    <x v="1"/>
    <n v="2199"/>
    <n v="5986"/>
    <n v="3.13"/>
    <n v="33"/>
  </r>
  <r>
    <s v="S1817"/>
    <x v="817"/>
    <x v="4"/>
    <x v="2"/>
    <d v="2024-02-04T00:00:00"/>
    <x v="1"/>
    <n v="2150"/>
    <n v="6873"/>
    <n v="2.11"/>
    <n v="23"/>
  </r>
  <r>
    <s v="S1818"/>
    <x v="818"/>
    <x v="1"/>
    <x v="3"/>
    <s v="6/18/2024"/>
    <x v="2"/>
    <n v="9905"/>
    <n v="6715"/>
    <n v="2.12"/>
    <n v="101"/>
  </r>
  <r>
    <s v="S1819"/>
    <x v="819"/>
    <x v="0"/>
    <x v="3"/>
    <d v="2022-07-10T00:00:00"/>
    <x v="0"/>
    <n v="2124"/>
    <n v="464"/>
    <n v="3.19"/>
    <n v="39"/>
  </r>
  <r>
    <s v="S1820"/>
    <x v="820"/>
    <x v="7"/>
    <x v="0"/>
    <s v="5/20/2024"/>
    <x v="0"/>
    <n v="2690"/>
    <n v="7185"/>
    <n v="2.06"/>
    <n v="15"/>
  </r>
  <r>
    <s v="S1821"/>
    <x v="821"/>
    <x v="7"/>
    <x v="3"/>
    <s v="7/28/2022"/>
    <x v="0"/>
    <n v="13523"/>
    <n v="1946"/>
    <n v="2.35"/>
    <n v="2"/>
  </r>
  <r>
    <s v="S1822"/>
    <x v="822"/>
    <x v="2"/>
    <x v="2"/>
    <d v="2022-11-03T00:00:00"/>
    <x v="0"/>
    <n v="13442"/>
    <n v="1267"/>
    <n v="3.66"/>
    <n v="72"/>
  </r>
  <r>
    <s v="S1823"/>
    <x v="823"/>
    <x v="3"/>
    <x v="1"/>
    <d v="2024-05-02T00:00:00"/>
    <x v="1"/>
    <n v="6885"/>
    <n v="386"/>
    <n v="2.57"/>
    <n v="111"/>
  </r>
  <r>
    <s v="S1824"/>
    <x v="824"/>
    <x v="5"/>
    <x v="3"/>
    <s v="2/26/2022"/>
    <x v="1"/>
    <n v="5021"/>
    <n v="5227"/>
    <n v="3.65"/>
    <n v="97"/>
  </r>
  <r>
    <s v="S1825"/>
    <x v="825"/>
    <x v="1"/>
    <x v="2"/>
    <s v="2/21/2022"/>
    <x v="0"/>
    <n v="7061"/>
    <n v="7017"/>
    <n v="3.69"/>
    <n v="26"/>
  </r>
  <r>
    <s v="S1826"/>
    <x v="826"/>
    <x v="0"/>
    <x v="3"/>
    <s v="4/27/2024"/>
    <x v="1"/>
    <n v="7729"/>
    <n v="3775"/>
    <n v="2.08"/>
    <n v="59"/>
  </r>
  <r>
    <s v="S1827"/>
    <x v="827"/>
    <x v="6"/>
    <x v="1"/>
    <s v="3/18/2022"/>
    <x v="1"/>
    <n v="12330"/>
    <n v="3766"/>
    <n v="3.85"/>
    <n v="59"/>
  </r>
  <r>
    <s v="S1828"/>
    <x v="828"/>
    <x v="2"/>
    <x v="2"/>
    <s v="3/29/2022"/>
    <x v="1"/>
    <n v="11714"/>
    <n v="8902"/>
    <n v="2.66"/>
    <n v="87"/>
  </r>
  <r>
    <s v="S1829"/>
    <x v="829"/>
    <x v="0"/>
    <x v="1"/>
    <s v="3/21/2022"/>
    <x v="1"/>
    <n v="11559"/>
    <n v="7261"/>
    <n v="3.35"/>
    <n v="13"/>
  </r>
  <r>
    <s v="S1830"/>
    <x v="830"/>
    <x v="7"/>
    <x v="3"/>
    <s v="2/23/2024"/>
    <x v="0"/>
    <n v="14978"/>
    <n v="1326"/>
    <n v="2.2400000000000002"/>
    <n v="12"/>
  </r>
  <r>
    <s v="S1831"/>
    <x v="831"/>
    <x v="6"/>
    <x v="0"/>
    <s v="2/23/2022"/>
    <x v="0"/>
    <n v="11976"/>
    <n v="1826"/>
    <n v="2.2200000000000002"/>
    <n v="10"/>
  </r>
  <r>
    <s v="S1832"/>
    <x v="832"/>
    <x v="2"/>
    <x v="1"/>
    <d v="2023-04-01T00:00:00"/>
    <x v="0"/>
    <n v="14178"/>
    <n v="2222"/>
    <n v="3.45"/>
    <n v="91"/>
  </r>
  <r>
    <s v="S1833"/>
    <x v="833"/>
    <x v="1"/>
    <x v="0"/>
    <s v="2/19/2022"/>
    <x v="0"/>
    <n v="12592"/>
    <n v="161"/>
    <n v="2.27"/>
    <n v="68"/>
  </r>
  <r>
    <s v="S1834"/>
    <x v="834"/>
    <x v="2"/>
    <x v="1"/>
    <d v="2023-07-02T00:00:00"/>
    <x v="1"/>
    <n v="2380"/>
    <n v="9095"/>
    <n v="2.41"/>
    <n v="3"/>
  </r>
  <r>
    <s v="S1835"/>
    <x v="835"/>
    <x v="0"/>
    <x v="2"/>
    <d v="2023-02-03T00:00:00"/>
    <x v="0"/>
    <n v="3078"/>
    <n v="3622"/>
    <n v="3.39"/>
    <n v="72"/>
  </r>
  <r>
    <s v="S1836"/>
    <x v="836"/>
    <x v="5"/>
    <x v="2"/>
    <s v="1/30/2024"/>
    <x v="2"/>
    <n v="6374"/>
    <n v="1397"/>
    <n v="2.91"/>
    <n v="52"/>
  </r>
  <r>
    <s v="S1837"/>
    <x v="837"/>
    <x v="5"/>
    <x v="1"/>
    <d v="2023-03-10T00:00:00"/>
    <x v="1"/>
    <n v="3040"/>
    <n v="5676"/>
    <n v="3.86"/>
    <n v="92"/>
  </r>
  <r>
    <s v="S1838"/>
    <x v="838"/>
    <x v="0"/>
    <x v="2"/>
    <s v="6/13/2022"/>
    <x v="1"/>
    <n v="13689"/>
    <n v="313"/>
    <n v="3.95"/>
    <n v="78"/>
  </r>
  <r>
    <s v="S1839"/>
    <x v="839"/>
    <x v="0"/>
    <x v="1"/>
    <d v="2023-01-02T00:00:00"/>
    <x v="0"/>
    <n v="6036"/>
    <n v="6021"/>
    <n v="2.17"/>
    <n v="39"/>
  </r>
  <r>
    <s v="S1840"/>
    <x v="840"/>
    <x v="4"/>
    <x v="1"/>
    <s v="2/18/2024"/>
    <x v="1"/>
    <n v="9926"/>
    <n v="7453"/>
    <n v="3.31"/>
    <n v="7"/>
  </r>
  <r>
    <s v="S1841"/>
    <x v="841"/>
    <x v="3"/>
    <x v="0"/>
    <d v="2022-03-08T00:00:00"/>
    <x v="1"/>
    <n v="9699"/>
    <n v="354"/>
    <n v="3.97"/>
    <n v="25"/>
  </r>
  <r>
    <s v="S1842"/>
    <x v="842"/>
    <x v="3"/>
    <x v="0"/>
    <s v="6/15/2022"/>
    <x v="0"/>
    <n v="7281"/>
    <n v="5074"/>
    <n v="3.26"/>
    <n v="89"/>
  </r>
  <r>
    <s v="S1843"/>
    <x v="843"/>
    <x v="0"/>
    <x v="1"/>
    <s v="10/19/2022"/>
    <x v="2"/>
    <n v="7435"/>
    <n v="5879"/>
    <n v="3.57"/>
    <n v="17"/>
  </r>
  <r>
    <s v="S1844"/>
    <x v="844"/>
    <x v="5"/>
    <x v="0"/>
    <d v="2024-12-04T00:00:00"/>
    <x v="0"/>
    <n v="14977"/>
    <n v="374"/>
    <n v="2.36"/>
    <n v="60"/>
  </r>
  <r>
    <s v="S1845"/>
    <x v="845"/>
    <x v="1"/>
    <x v="3"/>
    <s v="6/15/2023"/>
    <x v="0"/>
    <n v="14578"/>
    <n v="8597"/>
    <n v="3.36"/>
    <n v="34"/>
  </r>
  <r>
    <s v="S1846"/>
    <x v="846"/>
    <x v="6"/>
    <x v="2"/>
    <s v="2/20/2022"/>
    <x v="1"/>
    <n v="2664"/>
    <n v="8878"/>
    <n v="2.5099999999999998"/>
    <n v="77"/>
  </r>
  <r>
    <s v="S1847"/>
    <x v="847"/>
    <x v="2"/>
    <x v="1"/>
    <s v="8/19/2022"/>
    <x v="0"/>
    <n v="11301"/>
    <n v="5420"/>
    <n v="3.56"/>
    <n v="96"/>
  </r>
  <r>
    <s v="S1848"/>
    <x v="848"/>
    <x v="2"/>
    <x v="2"/>
    <d v="2023-04-09T00:00:00"/>
    <x v="1"/>
    <n v="4379"/>
    <n v="9901"/>
    <n v="2.65"/>
    <n v="39"/>
  </r>
  <r>
    <s v="S1849"/>
    <x v="849"/>
    <x v="4"/>
    <x v="3"/>
    <s v="7/25/2022"/>
    <x v="0"/>
    <n v="13197"/>
    <n v="2495"/>
    <n v="2.7"/>
    <n v="26"/>
  </r>
  <r>
    <s v="S1850"/>
    <x v="850"/>
    <x v="7"/>
    <x v="1"/>
    <d v="2023-09-10T00:00:00"/>
    <x v="1"/>
    <n v="14472"/>
    <n v="8730"/>
    <n v="3.43"/>
    <n v="18"/>
  </r>
  <r>
    <s v="S1851"/>
    <x v="851"/>
    <x v="2"/>
    <x v="3"/>
    <s v="4/26/2024"/>
    <x v="1"/>
    <n v="6807"/>
    <n v="8983"/>
    <n v="2.98"/>
    <n v="47"/>
  </r>
  <r>
    <s v="S1852"/>
    <x v="852"/>
    <x v="3"/>
    <x v="1"/>
    <s v="3/20/2022"/>
    <x v="0"/>
    <n v="5918"/>
    <n v="3347"/>
    <n v="2.04"/>
    <n v="105"/>
  </r>
  <r>
    <s v="S1853"/>
    <x v="853"/>
    <x v="1"/>
    <x v="2"/>
    <d v="2023-11-10T00:00:00"/>
    <x v="1"/>
    <n v="6149"/>
    <n v="4635"/>
    <n v="2.63"/>
    <n v="118"/>
  </r>
  <r>
    <s v="S1854"/>
    <x v="854"/>
    <x v="6"/>
    <x v="3"/>
    <d v="2024-01-03T00:00:00"/>
    <x v="0"/>
    <n v="8365"/>
    <n v="3533"/>
    <n v="3.17"/>
    <n v="15"/>
  </r>
  <r>
    <s v="S1855"/>
    <x v="855"/>
    <x v="0"/>
    <x v="1"/>
    <s v="7/27/2023"/>
    <x v="0"/>
    <n v="9612"/>
    <n v="1018"/>
    <n v="3.25"/>
    <n v="88"/>
  </r>
  <r>
    <s v="S1856"/>
    <x v="856"/>
    <x v="2"/>
    <x v="1"/>
    <s v="4/29/2023"/>
    <x v="0"/>
    <n v="10449"/>
    <n v="7"/>
    <n v="2.98"/>
    <n v="54"/>
  </r>
  <r>
    <s v="S1857"/>
    <x v="857"/>
    <x v="0"/>
    <x v="0"/>
    <s v="7/22/2022"/>
    <x v="1"/>
    <n v="7352"/>
    <n v="3682"/>
    <n v="3.34"/>
    <n v="100"/>
  </r>
  <r>
    <s v="S1858"/>
    <x v="858"/>
    <x v="4"/>
    <x v="0"/>
    <s v="11/20/2023"/>
    <x v="0"/>
    <n v="2312"/>
    <n v="6130"/>
    <n v="2.66"/>
    <n v="54"/>
  </r>
  <r>
    <s v="S1859"/>
    <x v="859"/>
    <x v="7"/>
    <x v="3"/>
    <d v="2022-01-08T00:00:00"/>
    <x v="0"/>
    <n v="12046"/>
    <n v="1594"/>
    <n v="2.35"/>
    <n v="31"/>
  </r>
  <r>
    <s v="S1860"/>
    <x v="860"/>
    <x v="1"/>
    <x v="2"/>
    <s v="6/20/2023"/>
    <x v="0"/>
    <n v="6750"/>
    <n v="6005"/>
    <n v="2.2799999999999998"/>
    <n v="114"/>
  </r>
  <r>
    <s v="S1861"/>
    <x v="861"/>
    <x v="5"/>
    <x v="3"/>
    <s v="8/28/2023"/>
    <x v="0"/>
    <n v="4842"/>
    <n v="7238"/>
    <n v="2.0299999999999998"/>
    <n v="46"/>
  </r>
  <r>
    <s v="S1862"/>
    <x v="862"/>
    <x v="7"/>
    <x v="1"/>
    <s v="3/27/2022"/>
    <x v="0"/>
    <n v="7267"/>
    <n v="7428"/>
    <n v="3.25"/>
    <n v="115"/>
  </r>
  <r>
    <s v="S1863"/>
    <x v="863"/>
    <x v="2"/>
    <x v="1"/>
    <s v="12/26/2022"/>
    <x v="0"/>
    <n v="8934"/>
    <n v="7479"/>
    <n v="2.29"/>
    <n v="39"/>
  </r>
  <r>
    <s v="S1864"/>
    <x v="864"/>
    <x v="6"/>
    <x v="3"/>
    <s v="2/19/2022"/>
    <x v="2"/>
    <n v="10532"/>
    <n v="6202"/>
    <n v="2.93"/>
    <n v="109"/>
  </r>
  <r>
    <s v="S1865"/>
    <x v="865"/>
    <x v="4"/>
    <x v="1"/>
    <s v="10/16/2023"/>
    <x v="1"/>
    <n v="2177"/>
    <n v="9305"/>
    <n v="2.5099999999999998"/>
    <n v="50"/>
  </r>
  <r>
    <s v="S1866"/>
    <x v="866"/>
    <x v="7"/>
    <x v="2"/>
    <s v="3/14/2023"/>
    <x v="0"/>
    <n v="8971"/>
    <n v="8015"/>
    <n v="3.05"/>
    <n v="106"/>
  </r>
  <r>
    <s v="S1867"/>
    <x v="867"/>
    <x v="2"/>
    <x v="2"/>
    <d v="2022-03-07T00:00:00"/>
    <x v="2"/>
    <n v="13897"/>
    <n v="7593"/>
    <n v="3.25"/>
    <n v="63"/>
  </r>
  <r>
    <s v="S1868"/>
    <x v="868"/>
    <x v="4"/>
    <x v="0"/>
    <d v="2022-03-08T00:00:00"/>
    <x v="0"/>
    <n v="5508"/>
    <n v="7751"/>
    <n v="2.0099999999999998"/>
    <n v="17"/>
  </r>
  <r>
    <s v="S1869"/>
    <x v="869"/>
    <x v="3"/>
    <x v="0"/>
    <s v="11/21/2023"/>
    <x v="0"/>
    <n v="12065"/>
    <n v="2882"/>
    <n v="2.35"/>
    <n v="93"/>
  </r>
  <r>
    <s v="S1870"/>
    <x v="870"/>
    <x v="7"/>
    <x v="0"/>
    <d v="2023-04-09T00:00:00"/>
    <x v="0"/>
    <n v="4499"/>
    <n v="9517"/>
    <n v="2.71"/>
    <n v="2"/>
  </r>
  <r>
    <s v="S1871"/>
    <x v="871"/>
    <x v="4"/>
    <x v="3"/>
    <s v="11/23/2022"/>
    <x v="0"/>
    <n v="12459"/>
    <n v="889"/>
    <n v="3.43"/>
    <n v="57"/>
  </r>
  <r>
    <s v="S1872"/>
    <x v="872"/>
    <x v="7"/>
    <x v="0"/>
    <d v="2023-02-04T00:00:00"/>
    <x v="0"/>
    <n v="4107"/>
    <n v="6953"/>
    <n v="3.32"/>
    <n v="8"/>
  </r>
  <r>
    <s v="S1873"/>
    <x v="873"/>
    <x v="5"/>
    <x v="1"/>
    <d v="2022-09-05T00:00:00"/>
    <x v="0"/>
    <n v="3251"/>
    <n v="9829"/>
    <n v="2.73"/>
    <n v="60"/>
  </r>
  <r>
    <s v="S1874"/>
    <x v="874"/>
    <x v="6"/>
    <x v="1"/>
    <s v="1/17/2022"/>
    <x v="2"/>
    <n v="8000"/>
    <n v="5181"/>
    <n v="2.27"/>
    <n v="92"/>
  </r>
  <r>
    <s v="S1875"/>
    <x v="875"/>
    <x v="7"/>
    <x v="3"/>
    <s v="4/23/2024"/>
    <x v="0"/>
    <n v="4905"/>
    <n v="8239"/>
    <n v="3.24"/>
    <n v="13"/>
  </r>
  <r>
    <s v="S1876"/>
    <x v="876"/>
    <x v="5"/>
    <x v="3"/>
    <s v="5/25/2023"/>
    <x v="0"/>
    <n v="12331"/>
    <n v="1249"/>
    <n v="2.46"/>
    <n v="29"/>
  </r>
  <r>
    <s v="S1877"/>
    <x v="877"/>
    <x v="7"/>
    <x v="3"/>
    <s v="4/25/2023"/>
    <x v="2"/>
    <n v="13471"/>
    <n v="786"/>
    <n v="3.26"/>
    <n v="94"/>
  </r>
  <r>
    <s v="S1878"/>
    <x v="878"/>
    <x v="2"/>
    <x v="2"/>
    <s v="11/29/2022"/>
    <x v="0"/>
    <n v="9678"/>
    <n v="6115"/>
    <n v="3.56"/>
    <n v="81"/>
  </r>
  <r>
    <s v="S1879"/>
    <x v="879"/>
    <x v="1"/>
    <x v="0"/>
    <s v="8/23/2022"/>
    <x v="0"/>
    <n v="9888"/>
    <n v="7169"/>
    <n v="3.71"/>
    <n v="15"/>
  </r>
  <r>
    <s v="S1880"/>
    <x v="880"/>
    <x v="3"/>
    <x v="1"/>
    <s v="1/29/2023"/>
    <x v="0"/>
    <n v="11687"/>
    <n v="8105"/>
    <n v="3.45"/>
    <n v="89"/>
  </r>
  <r>
    <s v="S1881"/>
    <x v="881"/>
    <x v="5"/>
    <x v="0"/>
    <d v="2023-11-05T00:00:00"/>
    <x v="0"/>
    <n v="7453"/>
    <n v="143"/>
    <n v="2.73"/>
    <n v="64"/>
  </r>
  <r>
    <s v="S1882"/>
    <x v="882"/>
    <x v="4"/>
    <x v="3"/>
    <d v="2023-06-01T00:00:00"/>
    <x v="0"/>
    <n v="8695"/>
    <n v="7266"/>
    <n v="3.03"/>
    <n v="71"/>
  </r>
  <r>
    <s v="S1883"/>
    <x v="883"/>
    <x v="7"/>
    <x v="2"/>
    <s v="3/16/2023"/>
    <x v="1"/>
    <n v="4856"/>
    <n v="878"/>
    <n v="2.65"/>
    <n v="29"/>
  </r>
  <r>
    <s v="S1884"/>
    <x v="884"/>
    <x v="0"/>
    <x v="3"/>
    <d v="2023-01-11T00:00:00"/>
    <x v="2"/>
    <n v="6249"/>
    <n v="1193"/>
    <n v="3.99"/>
    <n v="59"/>
  </r>
  <r>
    <s v="S1885"/>
    <x v="885"/>
    <x v="7"/>
    <x v="2"/>
    <d v="2024-03-01T00:00:00"/>
    <x v="0"/>
    <n v="14319"/>
    <n v="4428"/>
    <n v="3.31"/>
    <n v="36"/>
  </r>
  <r>
    <s v="S1886"/>
    <x v="886"/>
    <x v="5"/>
    <x v="2"/>
    <s v="10/28/2023"/>
    <x v="0"/>
    <n v="2324"/>
    <n v="6152"/>
    <n v="3.91"/>
    <n v="18"/>
  </r>
  <r>
    <s v="S1887"/>
    <x v="887"/>
    <x v="2"/>
    <x v="0"/>
    <d v="2022-12-04T00:00:00"/>
    <x v="0"/>
    <n v="6137"/>
    <n v="1513"/>
    <n v="2.93"/>
    <n v="86"/>
  </r>
  <r>
    <s v="S1888"/>
    <x v="888"/>
    <x v="0"/>
    <x v="2"/>
    <s v="8/19/2023"/>
    <x v="0"/>
    <n v="3993"/>
    <n v="488"/>
    <n v="3.87"/>
    <n v="30"/>
  </r>
  <r>
    <s v="S1889"/>
    <x v="889"/>
    <x v="6"/>
    <x v="0"/>
    <d v="2024-05-01T00:00:00"/>
    <x v="0"/>
    <n v="3592"/>
    <n v="5288"/>
    <n v="2.31"/>
    <n v="57"/>
  </r>
  <r>
    <s v="S1890"/>
    <x v="890"/>
    <x v="5"/>
    <x v="3"/>
    <s v="1/31/2024"/>
    <x v="0"/>
    <n v="6150"/>
    <n v="7731"/>
    <n v="2.79"/>
    <n v="15"/>
  </r>
  <r>
    <s v="S1891"/>
    <x v="891"/>
    <x v="3"/>
    <x v="2"/>
    <s v="4/13/2022"/>
    <x v="2"/>
    <n v="6690"/>
    <n v="9543"/>
    <n v="3.4"/>
    <n v="56"/>
  </r>
  <r>
    <s v="S1892"/>
    <x v="892"/>
    <x v="5"/>
    <x v="2"/>
    <s v="2/22/2022"/>
    <x v="1"/>
    <n v="11719"/>
    <n v="2949"/>
    <n v="2.93"/>
    <n v="107"/>
  </r>
  <r>
    <s v="S1893"/>
    <x v="893"/>
    <x v="1"/>
    <x v="1"/>
    <d v="2024-04-06T00:00:00"/>
    <x v="0"/>
    <n v="2659"/>
    <n v="2093"/>
    <n v="3.8"/>
    <n v="101"/>
  </r>
  <r>
    <s v="S1894"/>
    <x v="894"/>
    <x v="0"/>
    <x v="3"/>
    <s v="12/27/2022"/>
    <x v="0"/>
    <n v="9484"/>
    <n v="2759"/>
    <n v="2.25"/>
    <n v="114"/>
  </r>
  <r>
    <s v="S1895"/>
    <x v="895"/>
    <x v="7"/>
    <x v="1"/>
    <s v="11/27/2022"/>
    <x v="0"/>
    <n v="2133"/>
    <n v="244"/>
    <n v="3.72"/>
    <n v="17"/>
  </r>
  <r>
    <s v="S1896"/>
    <x v="896"/>
    <x v="0"/>
    <x v="0"/>
    <s v="6/22/2022"/>
    <x v="0"/>
    <n v="6910"/>
    <n v="6618"/>
    <n v="2.23"/>
    <n v="19"/>
  </r>
  <r>
    <s v="S1897"/>
    <x v="897"/>
    <x v="3"/>
    <x v="1"/>
    <s v="7/26/2022"/>
    <x v="0"/>
    <n v="13914"/>
    <n v="7642"/>
    <n v="3.94"/>
    <n v="57"/>
  </r>
  <r>
    <s v="S1898"/>
    <x v="898"/>
    <x v="3"/>
    <x v="0"/>
    <s v="3/31/2023"/>
    <x v="1"/>
    <n v="11039"/>
    <n v="9104"/>
    <n v="3.98"/>
    <n v="52"/>
  </r>
  <r>
    <s v="S1899"/>
    <x v="899"/>
    <x v="3"/>
    <x v="0"/>
    <s v="7/31/2022"/>
    <x v="0"/>
    <n v="8134"/>
    <n v="3190"/>
    <n v="2.73"/>
    <n v="68"/>
  </r>
  <r>
    <s v="S1900"/>
    <x v="900"/>
    <x v="6"/>
    <x v="2"/>
    <d v="2023-06-09T00:00:00"/>
    <x v="1"/>
    <n v="5424"/>
    <n v="5871"/>
    <n v="3.18"/>
    <n v="32"/>
  </r>
  <r>
    <s v="S1901"/>
    <x v="901"/>
    <x v="2"/>
    <x v="3"/>
    <s v="1/22/2023"/>
    <x v="0"/>
    <n v="14379"/>
    <n v="7146"/>
    <n v="3.15"/>
    <n v="80"/>
  </r>
  <r>
    <s v="S1902"/>
    <x v="902"/>
    <x v="7"/>
    <x v="1"/>
    <d v="2023-08-07T00:00:00"/>
    <x v="0"/>
    <n v="5400"/>
    <n v="6864"/>
    <n v="3.76"/>
    <n v="88"/>
  </r>
  <r>
    <s v="S1903"/>
    <x v="903"/>
    <x v="3"/>
    <x v="3"/>
    <s v="8/17/2022"/>
    <x v="1"/>
    <n v="9862"/>
    <n v="3356"/>
    <n v="3.23"/>
    <n v="103"/>
  </r>
  <r>
    <s v="S1904"/>
    <x v="904"/>
    <x v="0"/>
    <x v="3"/>
    <d v="2024-06-03T00:00:00"/>
    <x v="0"/>
    <n v="8496"/>
    <n v="3990"/>
    <n v="2.1800000000000002"/>
    <n v="44"/>
  </r>
  <r>
    <s v="S1905"/>
    <x v="905"/>
    <x v="7"/>
    <x v="3"/>
    <s v="8/28/2022"/>
    <x v="0"/>
    <n v="7820"/>
    <n v="809"/>
    <n v="2.75"/>
    <n v="64"/>
  </r>
  <r>
    <s v="S1906"/>
    <x v="906"/>
    <x v="5"/>
    <x v="2"/>
    <s v="4/20/2024"/>
    <x v="0"/>
    <n v="14630"/>
    <n v="7086"/>
    <n v="2.0099999999999998"/>
    <n v="31"/>
  </r>
  <r>
    <s v="S1907"/>
    <x v="907"/>
    <x v="2"/>
    <x v="1"/>
    <s v="10/14/2022"/>
    <x v="0"/>
    <n v="7470"/>
    <n v="6312"/>
    <n v="3.06"/>
    <n v="86"/>
  </r>
  <r>
    <s v="S1908"/>
    <x v="908"/>
    <x v="1"/>
    <x v="1"/>
    <d v="2022-03-04T00:00:00"/>
    <x v="0"/>
    <n v="6296"/>
    <n v="958"/>
    <n v="3.45"/>
    <n v="62"/>
  </r>
  <r>
    <s v="S1909"/>
    <x v="909"/>
    <x v="7"/>
    <x v="3"/>
    <s v="7/28/2022"/>
    <x v="1"/>
    <n v="2346"/>
    <n v="5333"/>
    <n v="2.74"/>
    <n v="105"/>
  </r>
  <r>
    <s v="S1910"/>
    <x v="910"/>
    <x v="1"/>
    <x v="0"/>
    <s v="3/26/2024"/>
    <x v="0"/>
    <n v="5749"/>
    <n v="6273"/>
    <n v="3.05"/>
    <n v="26"/>
  </r>
  <r>
    <s v="S1911"/>
    <x v="911"/>
    <x v="4"/>
    <x v="0"/>
    <s v="6/14/2024"/>
    <x v="0"/>
    <n v="10732"/>
    <n v="29"/>
    <n v="3.03"/>
    <n v="44"/>
  </r>
  <r>
    <s v="S1912"/>
    <x v="912"/>
    <x v="5"/>
    <x v="0"/>
    <d v="2022-11-07T00:00:00"/>
    <x v="2"/>
    <n v="5938"/>
    <n v="8341"/>
    <n v="2.99"/>
    <n v="101"/>
  </r>
  <r>
    <s v="S1913"/>
    <x v="913"/>
    <x v="4"/>
    <x v="2"/>
    <d v="2024-11-01T00:00:00"/>
    <x v="0"/>
    <n v="3278"/>
    <n v="1851"/>
    <n v="3.37"/>
    <n v="85"/>
  </r>
  <r>
    <s v="S1914"/>
    <x v="914"/>
    <x v="7"/>
    <x v="0"/>
    <d v="2023-06-06T00:00:00"/>
    <x v="0"/>
    <n v="14845"/>
    <n v="823"/>
    <n v="3.11"/>
    <n v="27"/>
  </r>
  <r>
    <s v="S1915"/>
    <x v="915"/>
    <x v="6"/>
    <x v="2"/>
    <s v="3/26/2022"/>
    <x v="1"/>
    <n v="11658"/>
    <n v="2778"/>
    <n v="3.52"/>
    <n v="95"/>
  </r>
  <r>
    <s v="S1916"/>
    <x v="916"/>
    <x v="0"/>
    <x v="1"/>
    <s v="4/28/2024"/>
    <x v="1"/>
    <n v="11979"/>
    <n v="4170"/>
    <n v="2.75"/>
    <n v="22"/>
  </r>
  <r>
    <s v="S1917"/>
    <x v="917"/>
    <x v="2"/>
    <x v="2"/>
    <s v="8/29/2022"/>
    <x v="0"/>
    <n v="5650"/>
    <n v="9181"/>
    <n v="3.13"/>
    <n v="18"/>
  </r>
  <r>
    <s v="S1918"/>
    <x v="918"/>
    <x v="3"/>
    <x v="0"/>
    <d v="2023-02-04T00:00:00"/>
    <x v="2"/>
    <n v="9224"/>
    <n v="5014"/>
    <n v="2.75"/>
    <n v="79"/>
  </r>
  <r>
    <s v="S1919"/>
    <x v="919"/>
    <x v="1"/>
    <x v="2"/>
    <d v="2023-08-07T00:00:00"/>
    <x v="1"/>
    <n v="12893"/>
    <n v="6823"/>
    <n v="3.9"/>
    <n v="62"/>
  </r>
  <r>
    <s v="S1920"/>
    <x v="920"/>
    <x v="5"/>
    <x v="0"/>
    <s v="11/16/2023"/>
    <x v="0"/>
    <n v="10635"/>
    <n v="7334"/>
    <n v="2.12"/>
    <n v="87"/>
  </r>
  <r>
    <s v="S1921"/>
    <x v="921"/>
    <x v="0"/>
    <x v="3"/>
    <d v="2022-06-05T00:00:00"/>
    <x v="1"/>
    <n v="5161"/>
    <n v="3191"/>
    <n v="3.4"/>
    <n v="18"/>
  </r>
  <r>
    <s v="S1922"/>
    <x v="922"/>
    <x v="2"/>
    <x v="3"/>
    <s v="1/17/2024"/>
    <x v="1"/>
    <n v="2310"/>
    <n v="7992"/>
    <n v="3.78"/>
    <n v="84"/>
  </r>
  <r>
    <s v="S1923"/>
    <x v="923"/>
    <x v="5"/>
    <x v="1"/>
    <d v="2022-07-12T00:00:00"/>
    <x v="1"/>
    <n v="14238"/>
    <n v="3624"/>
    <n v="2.0499999999999998"/>
    <n v="111"/>
  </r>
  <r>
    <s v="S1924"/>
    <x v="924"/>
    <x v="2"/>
    <x v="1"/>
    <s v="7/20/2022"/>
    <x v="0"/>
    <n v="6256"/>
    <n v="9774"/>
    <n v="3.04"/>
    <n v="92"/>
  </r>
  <r>
    <s v="S1925"/>
    <x v="925"/>
    <x v="5"/>
    <x v="1"/>
    <d v="2022-05-09T00:00:00"/>
    <x v="2"/>
    <n v="12707"/>
    <n v="6931"/>
    <n v="3.19"/>
    <n v="46"/>
  </r>
  <r>
    <s v="S1926"/>
    <x v="926"/>
    <x v="4"/>
    <x v="1"/>
    <s v="5/27/2022"/>
    <x v="0"/>
    <n v="14485"/>
    <n v="2925"/>
    <n v="2.13"/>
    <n v="15"/>
  </r>
  <r>
    <s v="S1927"/>
    <x v="927"/>
    <x v="0"/>
    <x v="0"/>
    <s v="9/14/2023"/>
    <x v="0"/>
    <n v="6109"/>
    <n v="1355"/>
    <n v="3.41"/>
    <n v="97"/>
  </r>
  <r>
    <s v="S1928"/>
    <x v="928"/>
    <x v="5"/>
    <x v="1"/>
    <s v="2/23/2024"/>
    <x v="2"/>
    <n v="12380"/>
    <n v="7327"/>
    <n v="2.54"/>
    <n v="72"/>
  </r>
  <r>
    <s v="S1929"/>
    <x v="929"/>
    <x v="5"/>
    <x v="1"/>
    <s v="4/24/2022"/>
    <x v="1"/>
    <n v="7050"/>
    <n v="537"/>
    <n v="2.84"/>
    <n v="68"/>
  </r>
  <r>
    <s v="S1930"/>
    <x v="930"/>
    <x v="2"/>
    <x v="3"/>
    <s v="6/26/2022"/>
    <x v="1"/>
    <n v="13686"/>
    <n v="5137"/>
    <n v="3.59"/>
    <n v="75"/>
  </r>
  <r>
    <s v="S1931"/>
    <x v="931"/>
    <x v="5"/>
    <x v="0"/>
    <s v="4/18/2024"/>
    <x v="0"/>
    <n v="3224"/>
    <n v="6436"/>
    <n v="3.96"/>
    <n v="103"/>
  </r>
  <r>
    <s v="S1932"/>
    <x v="932"/>
    <x v="5"/>
    <x v="2"/>
    <s v="6/14/2022"/>
    <x v="0"/>
    <n v="8505"/>
    <n v="8006"/>
    <n v="2.61"/>
    <n v="10"/>
  </r>
  <r>
    <s v="S1933"/>
    <x v="933"/>
    <x v="0"/>
    <x v="0"/>
    <d v="2023-08-02T00:00:00"/>
    <x v="1"/>
    <n v="8846"/>
    <n v="1192"/>
    <n v="3.59"/>
    <n v="36"/>
  </r>
  <r>
    <s v="S1934"/>
    <x v="934"/>
    <x v="3"/>
    <x v="1"/>
    <s v="6/26/2023"/>
    <x v="0"/>
    <n v="12177"/>
    <n v="6105"/>
    <n v="2.98"/>
    <n v="55"/>
  </r>
  <r>
    <s v="S1935"/>
    <x v="935"/>
    <x v="5"/>
    <x v="1"/>
    <d v="2022-10-09T00:00:00"/>
    <x v="0"/>
    <n v="2016"/>
    <n v="2170"/>
    <n v="3.56"/>
    <n v="41"/>
  </r>
  <r>
    <s v="S1936"/>
    <x v="936"/>
    <x v="0"/>
    <x v="3"/>
    <d v="2023-10-04T00:00:00"/>
    <x v="1"/>
    <n v="11375"/>
    <n v="6971"/>
    <n v="3.52"/>
    <n v="72"/>
  </r>
  <r>
    <s v="S1937"/>
    <x v="937"/>
    <x v="3"/>
    <x v="0"/>
    <s v="11/22/2023"/>
    <x v="0"/>
    <n v="2240"/>
    <n v="359"/>
    <n v="3.9"/>
    <n v="48"/>
  </r>
  <r>
    <s v="S1938"/>
    <x v="938"/>
    <x v="0"/>
    <x v="2"/>
    <s v="6/26/2022"/>
    <x v="1"/>
    <n v="6615"/>
    <n v="6355"/>
    <n v="3.2"/>
    <n v="40"/>
  </r>
  <r>
    <s v="S1939"/>
    <x v="939"/>
    <x v="1"/>
    <x v="3"/>
    <s v="11/22/2022"/>
    <x v="0"/>
    <n v="10054"/>
    <n v="4005"/>
    <n v="3.66"/>
    <n v="61"/>
  </r>
  <r>
    <s v="S1940"/>
    <x v="940"/>
    <x v="6"/>
    <x v="1"/>
    <d v="2023-10-11T00:00:00"/>
    <x v="0"/>
    <n v="10579"/>
    <n v="4678"/>
    <n v="3.15"/>
    <n v="43"/>
  </r>
  <r>
    <s v="S1941"/>
    <x v="941"/>
    <x v="6"/>
    <x v="0"/>
    <d v="2023-11-03T00:00:00"/>
    <x v="0"/>
    <n v="2260"/>
    <n v="2232"/>
    <n v="2.94"/>
    <n v="35"/>
  </r>
  <r>
    <s v="S1942"/>
    <x v="942"/>
    <x v="6"/>
    <x v="1"/>
    <s v="3/22/2024"/>
    <x v="1"/>
    <n v="7638"/>
    <n v="5209"/>
    <n v="3.8"/>
    <n v="21"/>
  </r>
  <r>
    <s v="S1943"/>
    <x v="943"/>
    <x v="2"/>
    <x v="3"/>
    <s v="11/28/2023"/>
    <x v="0"/>
    <n v="3557"/>
    <n v="2458"/>
    <n v="2.95"/>
    <n v="116"/>
  </r>
  <r>
    <s v="S1944"/>
    <x v="944"/>
    <x v="4"/>
    <x v="0"/>
    <s v="7/27/2022"/>
    <x v="0"/>
    <n v="4417"/>
    <n v="1293"/>
    <n v="3.32"/>
    <n v="92"/>
  </r>
  <r>
    <s v="S1945"/>
    <x v="945"/>
    <x v="1"/>
    <x v="1"/>
    <s v="7/18/2022"/>
    <x v="0"/>
    <n v="12066"/>
    <n v="8134"/>
    <n v="3.63"/>
    <n v="103"/>
  </r>
  <r>
    <s v="S1946"/>
    <x v="946"/>
    <x v="7"/>
    <x v="2"/>
    <s v="1/24/2024"/>
    <x v="0"/>
    <n v="2266"/>
    <n v="3921"/>
    <n v="3.84"/>
    <n v="3"/>
  </r>
  <r>
    <s v="S1947"/>
    <x v="947"/>
    <x v="5"/>
    <x v="2"/>
    <d v="2024-07-04T00:00:00"/>
    <x v="0"/>
    <n v="2363"/>
    <n v="3593"/>
    <n v="2.56"/>
    <n v="119"/>
  </r>
  <r>
    <s v="S1948"/>
    <x v="948"/>
    <x v="0"/>
    <x v="1"/>
    <s v="4/27/2022"/>
    <x v="2"/>
    <n v="2336"/>
    <n v="7138"/>
    <n v="3.58"/>
    <n v="94"/>
  </r>
  <r>
    <s v="S1949"/>
    <x v="949"/>
    <x v="7"/>
    <x v="2"/>
    <s v="3/21/2023"/>
    <x v="1"/>
    <n v="14712"/>
    <n v="9626"/>
    <n v="2.92"/>
    <n v="18"/>
  </r>
  <r>
    <s v="S1950"/>
    <x v="950"/>
    <x v="0"/>
    <x v="1"/>
    <d v="2022-06-04T00:00:00"/>
    <x v="1"/>
    <n v="5822"/>
    <n v="3156"/>
    <n v="2.89"/>
    <n v="53"/>
  </r>
  <r>
    <s v="S1951"/>
    <x v="951"/>
    <x v="2"/>
    <x v="2"/>
    <s v="4/25/2024"/>
    <x v="1"/>
    <n v="13010"/>
    <n v="5677"/>
    <n v="2.0299999999999998"/>
    <n v="72"/>
  </r>
  <r>
    <s v="S1952"/>
    <x v="952"/>
    <x v="1"/>
    <x v="0"/>
    <d v="2024-02-05T00:00:00"/>
    <x v="1"/>
    <n v="6167"/>
    <n v="6095"/>
    <n v="2.99"/>
    <n v="94"/>
  </r>
  <r>
    <s v="S1953"/>
    <x v="953"/>
    <x v="7"/>
    <x v="2"/>
    <d v="2022-07-05T00:00:00"/>
    <x v="1"/>
    <n v="3815"/>
    <n v="2083"/>
    <n v="3.66"/>
    <n v="92"/>
  </r>
  <r>
    <s v="S1954"/>
    <x v="954"/>
    <x v="0"/>
    <x v="3"/>
    <s v="6/18/2022"/>
    <x v="1"/>
    <n v="6719"/>
    <n v="7812"/>
    <n v="3.91"/>
    <n v="116"/>
  </r>
  <r>
    <s v="S1955"/>
    <x v="955"/>
    <x v="3"/>
    <x v="1"/>
    <s v="11/22/2023"/>
    <x v="0"/>
    <n v="4490"/>
    <n v="1702"/>
    <n v="2.7"/>
    <n v="94"/>
  </r>
  <r>
    <s v="S1956"/>
    <x v="956"/>
    <x v="1"/>
    <x v="1"/>
    <d v="2023-03-07T00:00:00"/>
    <x v="1"/>
    <n v="9668"/>
    <n v="1839"/>
    <n v="2.5099999999999998"/>
    <n v="85"/>
  </r>
  <r>
    <s v="S1957"/>
    <x v="957"/>
    <x v="4"/>
    <x v="0"/>
    <s v="10/17/2023"/>
    <x v="0"/>
    <n v="2432"/>
    <n v="5071"/>
    <n v="3.8"/>
    <n v="49"/>
  </r>
  <r>
    <s v="S1958"/>
    <x v="958"/>
    <x v="3"/>
    <x v="0"/>
    <s v="1/30/2023"/>
    <x v="0"/>
    <n v="3242"/>
    <n v="9900"/>
    <n v="3.85"/>
    <n v="83"/>
  </r>
  <r>
    <s v="S1959"/>
    <x v="959"/>
    <x v="2"/>
    <x v="3"/>
    <s v="9/14/2022"/>
    <x v="1"/>
    <n v="14853"/>
    <n v="6485"/>
    <n v="3.3"/>
    <n v="2"/>
  </r>
  <r>
    <s v="S1960"/>
    <x v="960"/>
    <x v="2"/>
    <x v="0"/>
    <s v="4/18/2024"/>
    <x v="0"/>
    <n v="11497"/>
    <n v="8841"/>
    <n v="2.23"/>
    <n v="50"/>
  </r>
  <r>
    <s v="S1961"/>
    <x v="961"/>
    <x v="5"/>
    <x v="1"/>
    <d v="2023-07-11T00:00:00"/>
    <x v="1"/>
    <n v="2983"/>
    <n v="8417"/>
    <n v="2.6"/>
    <n v="2"/>
  </r>
  <r>
    <s v="S1962"/>
    <x v="962"/>
    <x v="6"/>
    <x v="1"/>
    <d v="2022-10-08T00:00:00"/>
    <x v="1"/>
    <n v="2880"/>
    <n v="2545"/>
    <n v="2.57"/>
    <n v="32"/>
  </r>
  <r>
    <s v="S1963"/>
    <x v="963"/>
    <x v="6"/>
    <x v="1"/>
    <d v="2022-08-04T00:00:00"/>
    <x v="0"/>
    <n v="6951"/>
    <n v="321"/>
    <n v="2.7"/>
    <n v="61"/>
  </r>
  <r>
    <s v="S1964"/>
    <x v="964"/>
    <x v="1"/>
    <x v="1"/>
    <d v="2023-02-07T00:00:00"/>
    <x v="1"/>
    <n v="8612"/>
    <n v="1423"/>
    <n v="3.76"/>
    <n v="71"/>
  </r>
  <r>
    <s v="S1965"/>
    <x v="965"/>
    <x v="1"/>
    <x v="3"/>
    <s v="1/18/2024"/>
    <x v="0"/>
    <n v="8900"/>
    <n v="4345"/>
    <n v="3.25"/>
    <n v="35"/>
  </r>
  <r>
    <s v="S1966"/>
    <x v="966"/>
    <x v="2"/>
    <x v="2"/>
    <s v="3/28/2024"/>
    <x v="1"/>
    <n v="10147"/>
    <n v="592"/>
    <n v="3.12"/>
    <n v="72"/>
  </r>
  <r>
    <s v="S1967"/>
    <x v="967"/>
    <x v="7"/>
    <x v="2"/>
    <d v="2022-01-06T00:00:00"/>
    <x v="0"/>
    <n v="11524"/>
    <n v="885"/>
    <n v="3.48"/>
    <n v="39"/>
  </r>
  <r>
    <s v="S1968"/>
    <x v="968"/>
    <x v="7"/>
    <x v="2"/>
    <s v="1/22/2022"/>
    <x v="0"/>
    <n v="9115"/>
    <n v="8808"/>
    <n v="3.15"/>
    <n v="57"/>
  </r>
  <r>
    <s v="S1969"/>
    <x v="969"/>
    <x v="6"/>
    <x v="3"/>
    <s v="7/29/2022"/>
    <x v="0"/>
    <n v="14396"/>
    <n v="1245"/>
    <n v="2.91"/>
    <n v="89"/>
  </r>
  <r>
    <s v="S1970"/>
    <x v="970"/>
    <x v="6"/>
    <x v="2"/>
    <s v="5/31/2023"/>
    <x v="1"/>
    <n v="8599"/>
    <n v="3888"/>
    <n v="2.88"/>
    <n v="8"/>
  </r>
  <r>
    <s v="S1971"/>
    <x v="971"/>
    <x v="3"/>
    <x v="1"/>
    <d v="2024-02-03T00:00:00"/>
    <x v="0"/>
    <n v="14700"/>
    <n v="4688"/>
    <n v="3.69"/>
    <n v="34"/>
  </r>
  <r>
    <s v="S1972"/>
    <x v="972"/>
    <x v="6"/>
    <x v="2"/>
    <d v="2024-03-04T00:00:00"/>
    <x v="0"/>
    <n v="9199"/>
    <n v="9495"/>
    <n v="3.04"/>
    <n v="20"/>
  </r>
  <r>
    <s v="S1973"/>
    <x v="973"/>
    <x v="5"/>
    <x v="3"/>
    <s v="1/17/2024"/>
    <x v="2"/>
    <n v="6798"/>
    <n v="3454"/>
    <n v="2.97"/>
    <n v="28"/>
  </r>
  <r>
    <s v="S1974"/>
    <x v="974"/>
    <x v="7"/>
    <x v="3"/>
    <s v="6/19/2022"/>
    <x v="0"/>
    <n v="7093"/>
    <n v="2651"/>
    <n v="2.2999999999999998"/>
    <n v="75"/>
  </r>
  <r>
    <s v="S1975"/>
    <x v="975"/>
    <x v="6"/>
    <x v="2"/>
    <d v="2024-04-01T00:00:00"/>
    <x v="1"/>
    <n v="10111"/>
    <n v="3264"/>
    <n v="3.75"/>
    <n v="97"/>
  </r>
  <r>
    <s v="S1976"/>
    <x v="976"/>
    <x v="6"/>
    <x v="2"/>
    <s v="8/19/2023"/>
    <x v="0"/>
    <n v="14720"/>
    <n v="6666"/>
    <n v="3.08"/>
    <n v="2"/>
  </r>
  <r>
    <s v="S1977"/>
    <x v="977"/>
    <x v="3"/>
    <x v="3"/>
    <s v="9/14/2023"/>
    <x v="1"/>
    <n v="3574"/>
    <n v="294"/>
    <n v="2.4700000000000002"/>
    <n v="107"/>
  </r>
  <r>
    <s v="S1978"/>
    <x v="978"/>
    <x v="1"/>
    <x v="1"/>
    <s v="5/31/2022"/>
    <x v="0"/>
    <n v="12664"/>
    <n v="7109"/>
    <n v="2.2000000000000002"/>
    <n v="91"/>
  </r>
  <r>
    <s v="S1979"/>
    <x v="979"/>
    <x v="2"/>
    <x v="1"/>
    <s v="4/16/2024"/>
    <x v="0"/>
    <n v="9618"/>
    <n v="6312"/>
    <n v="2.25"/>
    <n v="78"/>
  </r>
  <r>
    <s v="S1980"/>
    <x v="980"/>
    <x v="5"/>
    <x v="1"/>
    <d v="2024-04-06T00:00:00"/>
    <x v="1"/>
    <n v="9706"/>
    <n v="5288"/>
    <n v="2.27"/>
    <n v="6"/>
  </r>
  <r>
    <s v="S1981"/>
    <x v="981"/>
    <x v="0"/>
    <x v="3"/>
    <s v="1/24/2022"/>
    <x v="0"/>
    <n v="8994"/>
    <n v="9832"/>
    <n v="2.46"/>
    <n v="107"/>
  </r>
  <r>
    <s v="S1982"/>
    <x v="982"/>
    <x v="0"/>
    <x v="2"/>
    <s v="11/15/2022"/>
    <x v="1"/>
    <n v="6439"/>
    <n v="6901"/>
    <n v="3.1"/>
    <n v="80"/>
  </r>
  <r>
    <s v="S1983"/>
    <x v="983"/>
    <x v="2"/>
    <x v="0"/>
    <d v="2024-02-02T00:00:00"/>
    <x v="0"/>
    <n v="6534"/>
    <n v="9500"/>
    <n v="3.61"/>
    <n v="111"/>
  </r>
  <r>
    <s v="S1984"/>
    <x v="984"/>
    <x v="7"/>
    <x v="0"/>
    <d v="2022-02-09T00:00:00"/>
    <x v="0"/>
    <n v="7590"/>
    <n v="408"/>
    <n v="3.97"/>
    <n v="46"/>
  </r>
  <r>
    <s v="S1985"/>
    <x v="985"/>
    <x v="2"/>
    <x v="2"/>
    <s v="11/15/2022"/>
    <x v="2"/>
    <n v="7475"/>
    <n v="7710"/>
    <n v="2.4500000000000002"/>
    <n v="62"/>
  </r>
  <r>
    <s v="S1986"/>
    <x v="986"/>
    <x v="0"/>
    <x v="2"/>
    <d v="2023-10-10T00:00:00"/>
    <x v="0"/>
    <n v="3693"/>
    <n v="4367"/>
    <n v="3.65"/>
    <n v="28"/>
  </r>
  <r>
    <s v="S1987"/>
    <x v="987"/>
    <x v="6"/>
    <x v="2"/>
    <s v="4/16/2024"/>
    <x v="0"/>
    <n v="11396"/>
    <n v="8283"/>
    <n v="2.2200000000000002"/>
    <n v="98"/>
  </r>
  <r>
    <s v="S1988"/>
    <x v="988"/>
    <x v="7"/>
    <x v="0"/>
    <s v="12/26/2022"/>
    <x v="0"/>
    <n v="8610"/>
    <n v="2022"/>
    <n v="3.47"/>
    <n v="16"/>
  </r>
  <r>
    <s v="S1989"/>
    <x v="989"/>
    <x v="6"/>
    <x v="0"/>
    <d v="2023-10-10T00:00:00"/>
    <x v="0"/>
    <n v="3027"/>
    <n v="8764"/>
    <n v="3.34"/>
    <n v="116"/>
  </r>
  <r>
    <s v="S1990"/>
    <x v="990"/>
    <x v="4"/>
    <x v="0"/>
    <s v="5/31/2023"/>
    <x v="0"/>
    <n v="4944"/>
    <n v="8402"/>
    <n v="3.07"/>
    <n v="79"/>
  </r>
  <r>
    <s v="S1991"/>
    <x v="991"/>
    <x v="3"/>
    <x v="1"/>
    <d v="2024-07-03T00:00:00"/>
    <x v="0"/>
    <n v="9032"/>
    <n v="7939"/>
    <n v="2.56"/>
    <n v="8"/>
  </r>
  <r>
    <s v="S1992"/>
    <x v="992"/>
    <x v="3"/>
    <x v="3"/>
    <s v="11/26/2023"/>
    <x v="0"/>
    <n v="10427"/>
    <n v="7298"/>
    <n v="3.54"/>
    <n v="119"/>
  </r>
  <r>
    <s v="S1993"/>
    <x v="993"/>
    <x v="5"/>
    <x v="2"/>
    <d v="2024-09-04T00:00:00"/>
    <x v="0"/>
    <n v="6051"/>
    <n v="7108"/>
    <n v="3.2"/>
    <n v="99"/>
  </r>
  <r>
    <s v="S1994"/>
    <x v="994"/>
    <x v="0"/>
    <x v="3"/>
    <d v="2023-02-12T00:00:00"/>
    <x v="0"/>
    <n v="5499"/>
    <n v="8616"/>
    <n v="3.07"/>
    <n v="23"/>
  </r>
  <r>
    <s v="S1995"/>
    <x v="995"/>
    <x v="3"/>
    <x v="0"/>
    <d v="2024-10-01T00:00:00"/>
    <x v="1"/>
    <n v="5005"/>
    <n v="9438"/>
    <n v="3.13"/>
    <n v="24"/>
  </r>
  <r>
    <s v="S1996"/>
    <x v="996"/>
    <x v="6"/>
    <x v="3"/>
    <s v="12/22/2022"/>
    <x v="0"/>
    <n v="11045"/>
    <n v="9251"/>
    <n v="2.93"/>
    <n v="87"/>
  </r>
  <r>
    <s v="S1997"/>
    <x v="997"/>
    <x v="6"/>
    <x v="1"/>
    <d v="2022-09-02T00:00:00"/>
    <x v="1"/>
    <n v="12297"/>
    <n v="4680"/>
    <n v="2.02"/>
    <n v="58"/>
  </r>
  <r>
    <s v="S1998"/>
    <x v="998"/>
    <x v="1"/>
    <x v="1"/>
    <d v="2022-06-11T00:00:00"/>
    <x v="0"/>
    <n v="4317"/>
    <n v="1427"/>
    <n v="3.55"/>
    <n v="76"/>
  </r>
  <r>
    <s v="S1999"/>
    <x v="999"/>
    <x v="0"/>
    <x v="3"/>
    <d v="2022-07-03T00:00:00"/>
    <x v="1"/>
    <n v="14569"/>
    <n v="9058"/>
    <n v="2.4"/>
    <n v="29"/>
  </r>
  <r>
    <s v="S2000"/>
    <x v="1000"/>
    <x v="2"/>
    <x v="0"/>
    <s v="12/23/2022"/>
    <x v="0"/>
    <n v="12134"/>
    <n v="3119"/>
    <n v="2.91"/>
    <n v="4"/>
  </r>
  <r>
    <s v="S2001"/>
    <x v="1001"/>
    <x v="3"/>
    <x v="3"/>
    <d v="2023-02-01T00:00:00"/>
    <x v="2"/>
    <n v="11342"/>
    <n v="152"/>
    <n v="3.13"/>
    <n v="0"/>
  </r>
  <r>
    <s v="S2002"/>
    <x v="1002"/>
    <x v="4"/>
    <x v="0"/>
    <d v="2022-12-09T00:00:00"/>
    <x v="0"/>
    <n v="2607"/>
    <n v="2463"/>
    <n v="2.52"/>
    <n v="17"/>
  </r>
  <r>
    <s v="S2003"/>
    <x v="1003"/>
    <x v="1"/>
    <x v="0"/>
    <s v="3/14/2024"/>
    <x v="2"/>
    <n v="5479"/>
    <n v="9211"/>
    <n v="2.78"/>
    <n v="8"/>
  </r>
  <r>
    <s v="S2004"/>
    <x v="1004"/>
    <x v="7"/>
    <x v="0"/>
    <d v="2022-04-06T00:00:00"/>
    <x v="1"/>
    <n v="6615"/>
    <n v="1700"/>
    <n v="3.92"/>
    <n v="96"/>
  </r>
  <r>
    <s v="S2005"/>
    <x v="1005"/>
    <x v="0"/>
    <x v="1"/>
    <s v="8/26/2023"/>
    <x v="0"/>
    <n v="4176"/>
    <n v="9643"/>
    <n v="3.3"/>
    <n v="12"/>
  </r>
  <r>
    <s v="S2006"/>
    <x v="1006"/>
    <x v="5"/>
    <x v="1"/>
    <d v="2024-05-05T00:00:00"/>
    <x v="1"/>
    <n v="3536"/>
    <n v="5079"/>
    <n v="2.46"/>
    <n v="108"/>
  </r>
  <r>
    <s v="S2007"/>
    <x v="1007"/>
    <x v="5"/>
    <x v="0"/>
    <s v="12/25/2023"/>
    <x v="0"/>
    <n v="9886"/>
    <n v="4015"/>
    <n v="2.63"/>
    <n v="80"/>
  </r>
  <r>
    <s v="S2008"/>
    <x v="1008"/>
    <x v="2"/>
    <x v="3"/>
    <s v="12/21/2023"/>
    <x v="2"/>
    <n v="6048"/>
    <n v="5071"/>
    <n v="3.78"/>
    <n v="84"/>
  </r>
  <r>
    <s v="S2009"/>
    <x v="1009"/>
    <x v="0"/>
    <x v="2"/>
    <s v="1/18/2022"/>
    <x v="2"/>
    <n v="4181"/>
    <n v="800"/>
    <n v="3.94"/>
    <n v="91"/>
  </r>
  <r>
    <s v="S2010"/>
    <x v="1010"/>
    <x v="5"/>
    <x v="2"/>
    <d v="2022-12-05T00:00:00"/>
    <x v="0"/>
    <n v="7377"/>
    <n v="1185"/>
    <n v="2.25"/>
    <n v="96"/>
  </r>
  <r>
    <s v="S2011"/>
    <x v="1011"/>
    <x v="2"/>
    <x v="1"/>
    <s v="4/22/2022"/>
    <x v="0"/>
    <n v="14234"/>
    <n v="2693"/>
    <n v="2.0299999999999998"/>
    <n v="34"/>
  </r>
  <r>
    <s v="S2012"/>
    <x v="1012"/>
    <x v="5"/>
    <x v="0"/>
    <d v="2024-09-03T00:00:00"/>
    <x v="1"/>
    <n v="4357"/>
    <n v="8371"/>
    <n v="3.08"/>
    <n v="89"/>
  </r>
  <r>
    <s v="S2013"/>
    <x v="1013"/>
    <x v="2"/>
    <x v="3"/>
    <s v="5/19/2023"/>
    <x v="0"/>
    <n v="6176"/>
    <n v="7401"/>
    <n v="2.68"/>
    <n v="68"/>
  </r>
  <r>
    <s v="S2014"/>
    <x v="1014"/>
    <x v="7"/>
    <x v="3"/>
    <s v="3/28/2023"/>
    <x v="0"/>
    <n v="14399"/>
    <n v="7150"/>
    <n v="2.95"/>
    <n v="21"/>
  </r>
  <r>
    <s v="S2015"/>
    <x v="1015"/>
    <x v="4"/>
    <x v="0"/>
    <d v="2022-03-01T00:00:00"/>
    <x v="0"/>
    <n v="13434"/>
    <n v="9599"/>
    <n v="2.15"/>
    <n v="18"/>
  </r>
  <r>
    <s v="S2016"/>
    <x v="1016"/>
    <x v="6"/>
    <x v="2"/>
    <s v="3/29/2023"/>
    <x v="0"/>
    <n v="3398"/>
    <n v="6329"/>
    <n v="3.15"/>
    <n v="58"/>
  </r>
  <r>
    <s v="S2017"/>
    <x v="1017"/>
    <x v="5"/>
    <x v="2"/>
    <s v="9/23/2022"/>
    <x v="0"/>
    <n v="9724"/>
    <n v="8224"/>
    <n v="3.57"/>
    <n v="38"/>
  </r>
  <r>
    <s v="S2018"/>
    <x v="1018"/>
    <x v="1"/>
    <x v="3"/>
    <s v="12/21/2022"/>
    <x v="0"/>
    <n v="13375"/>
    <n v="7202"/>
    <n v="3.07"/>
    <n v="11"/>
  </r>
  <r>
    <s v="S2019"/>
    <x v="1019"/>
    <x v="6"/>
    <x v="3"/>
    <d v="2024-08-04T00:00:00"/>
    <x v="1"/>
    <n v="2052"/>
    <n v="5540"/>
    <n v="2.76"/>
    <n v="117"/>
  </r>
  <r>
    <s v="S2020"/>
    <x v="1020"/>
    <x v="7"/>
    <x v="1"/>
    <d v="2022-11-10T00:00:00"/>
    <x v="0"/>
    <n v="9348"/>
    <n v="3252"/>
    <n v="3.92"/>
    <n v="20"/>
  </r>
  <r>
    <s v="S2021"/>
    <x v="1021"/>
    <x v="5"/>
    <x v="1"/>
    <s v="1/18/2023"/>
    <x v="0"/>
    <n v="3683"/>
    <n v="5286"/>
    <n v="3.04"/>
    <n v="61"/>
  </r>
  <r>
    <s v="S2022"/>
    <x v="1022"/>
    <x v="0"/>
    <x v="3"/>
    <s v="4/28/2022"/>
    <x v="0"/>
    <n v="6294"/>
    <n v="3422"/>
    <n v="2.84"/>
    <n v="107"/>
  </r>
  <r>
    <s v="S2023"/>
    <x v="1023"/>
    <x v="7"/>
    <x v="3"/>
    <d v="2022-07-09T00:00:00"/>
    <x v="1"/>
    <n v="6651"/>
    <n v="7082"/>
    <n v="2.4300000000000002"/>
    <n v="85"/>
  </r>
  <r>
    <s v="S2024"/>
    <x v="1024"/>
    <x v="0"/>
    <x v="0"/>
    <d v="2024-10-05T00:00:00"/>
    <x v="1"/>
    <n v="14550"/>
    <n v="9171"/>
    <n v="3.25"/>
    <n v="78"/>
  </r>
  <r>
    <s v="S2025"/>
    <x v="1025"/>
    <x v="4"/>
    <x v="2"/>
    <s v="11/14/2023"/>
    <x v="1"/>
    <n v="4049"/>
    <n v="3524"/>
    <n v="2.23"/>
    <n v="29"/>
  </r>
  <r>
    <s v="S2026"/>
    <x v="1026"/>
    <x v="6"/>
    <x v="0"/>
    <s v="1/30/2023"/>
    <x v="1"/>
    <n v="2397"/>
    <n v="7989"/>
    <n v="2.91"/>
    <n v="117"/>
  </r>
  <r>
    <s v="S2027"/>
    <x v="1027"/>
    <x v="7"/>
    <x v="1"/>
    <d v="2022-10-05T00:00:00"/>
    <x v="1"/>
    <n v="2645"/>
    <n v="2926"/>
    <n v="3.57"/>
    <n v="54"/>
  </r>
  <r>
    <s v="S2028"/>
    <x v="1028"/>
    <x v="4"/>
    <x v="3"/>
    <s v="10/30/2022"/>
    <x v="0"/>
    <n v="4105"/>
    <n v="9705"/>
    <n v="2.3199999999999998"/>
    <n v="22"/>
  </r>
  <r>
    <s v="S2029"/>
    <x v="1029"/>
    <x v="0"/>
    <x v="2"/>
    <d v="2022-11-02T00:00:00"/>
    <x v="0"/>
    <n v="7185"/>
    <n v="3129"/>
    <n v="2.87"/>
    <n v="24"/>
  </r>
  <r>
    <s v="S2030"/>
    <x v="1030"/>
    <x v="6"/>
    <x v="1"/>
    <d v="2024-09-01T00:00:00"/>
    <x v="0"/>
    <n v="6263"/>
    <n v="1642"/>
    <n v="3.17"/>
    <n v="49"/>
  </r>
  <r>
    <s v="S2031"/>
    <x v="1031"/>
    <x v="5"/>
    <x v="0"/>
    <s v="7/23/2023"/>
    <x v="0"/>
    <n v="7201"/>
    <n v="943"/>
    <n v="3.49"/>
    <n v="19"/>
  </r>
  <r>
    <s v="S2032"/>
    <x v="1032"/>
    <x v="0"/>
    <x v="3"/>
    <s v="4/18/2024"/>
    <x v="2"/>
    <n v="6043"/>
    <n v="6673"/>
    <n v="2.94"/>
    <n v="81"/>
  </r>
  <r>
    <s v="S2033"/>
    <x v="1033"/>
    <x v="6"/>
    <x v="2"/>
    <d v="2024-04-02T00:00:00"/>
    <x v="0"/>
    <n v="4290"/>
    <n v="8037"/>
    <n v="3.2"/>
    <n v="100"/>
  </r>
  <r>
    <s v="S2034"/>
    <x v="1034"/>
    <x v="0"/>
    <x v="1"/>
    <s v="10/21/2023"/>
    <x v="0"/>
    <n v="13750"/>
    <n v="3160"/>
    <n v="2.5299999999999998"/>
    <n v="20"/>
  </r>
  <r>
    <s v="S2035"/>
    <x v="1035"/>
    <x v="6"/>
    <x v="1"/>
    <d v="2023-07-01T00:00:00"/>
    <x v="0"/>
    <n v="9223"/>
    <n v="934"/>
    <n v="3.49"/>
    <n v="104"/>
  </r>
  <r>
    <s v="S2036"/>
    <x v="1036"/>
    <x v="5"/>
    <x v="2"/>
    <s v="9/17/2023"/>
    <x v="1"/>
    <n v="9699"/>
    <n v="3736"/>
    <n v="3.07"/>
    <n v="57"/>
  </r>
  <r>
    <s v="S2037"/>
    <x v="1037"/>
    <x v="0"/>
    <x v="3"/>
    <s v="1/18/2022"/>
    <x v="0"/>
    <n v="9851"/>
    <n v="2149"/>
    <n v="3.39"/>
    <n v="78"/>
  </r>
  <r>
    <s v="S2038"/>
    <x v="1038"/>
    <x v="7"/>
    <x v="1"/>
    <s v="5/29/2024"/>
    <x v="0"/>
    <n v="8813"/>
    <n v="795"/>
    <n v="3.25"/>
    <n v="110"/>
  </r>
  <r>
    <s v="S2039"/>
    <x v="1039"/>
    <x v="3"/>
    <x v="1"/>
    <s v="5/13/2022"/>
    <x v="0"/>
    <n v="9828"/>
    <n v="9604"/>
    <n v="3.94"/>
    <n v="17"/>
  </r>
  <r>
    <s v="S2040"/>
    <x v="1040"/>
    <x v="3"/>
    <x v="3"/>
    <s v="1/21/2022"/>
    <x v="0"/>
    <n v="14430"/>
    <n v="4963"/>
    <n v="2.41"/>
    <n v="73"/>
  </r>
  <r>
    <s v="S2041"/>
    <x v="1041"/>
    <x v="1"/>
    <x v="3"/>
    <s v="3/31/2023"/>
    <x v="0"/>
    <n v="14409"/>
    <n v="5793"/>
    <n v="2.61"/>
    <n v="31"/>
  </r>
  <r>
    <s v="S2042"/>
    <x v="1042"/>
    <x v="5"/>
    <x v="2"/>
    <d v="2022-12-09T00:00:00"/>
    <x v="0"/>
    <n v="3726"/>
    <n v="586"/>
    <n v="2.2200000000000002"/>
    <n v="6"/>
  </r>
  <r>
    <s v="S2043"/>
    <x v="1043"/>
    <x v="4"/>
    <x v="1"/>
    <s v="10/28/2023"/>
    <x v="1"/>
    <n v="12371"/>
    <n v="3982"/>
    <n v="3.58"/>
    <n v="52"/>
  </r>
  <r>
    <s v="S2044"/>
    <x v="1044"/>
    <x v="3"/>
    <x v="2"/>
    <s v="6/27/2023"/>
    <x v="1"/>
    <n v="3344"/>
    <n v="5902"/>
    <n v="3.46"/>
    <n v="75"/>
  </r>
  <r>
    <s v="S2045"/>
    <x v="1045"/>
    <x v="5"/>
    <x v="0"/>
    <s v="3/19/2023"/>
    <x v="0"/>
    <n v="10360"/>
    <n v="6049"/>
    <n v="2.79"/>
    <n v="42"/>
  </r>
  <r>
    <s v="S2046"/>
    <x v="1046"/>
    <x v="6"/>
    <x v="0"/>
    <s v="7/22/2022"/>
    <x v="0"/>
    <n v="9592"/>
    <n v="5292"/>
    <n v="3.61"/>
    <n v="59"/>
  </r>
  <r>
    <s v="S2047"/>
    <x v="1047"/>
    <x v="5"/>
    <x v="0"/>
    <s v="6/30/2022"/>
    <x v="0"/>
    <n v="9512"/>
    <n v="2317"/>
    <n v="2.98"/>
    <n v="56"/>
  </r>
  <r>
    <s v="S2048"/>
    <x v="1048"/>
    <x v="7"/>
    <x v="1"/>
    <s v="7/23/2022"/>
    <x v="1"/>
    <n v="5373"/>
    <n v="8186"/>
    <n v="2.29"/>
    <n v="22"/>
  </r>
  <r>
    <s v="S2049"/>
    <x v="1049"/>
    <x v="2"/>
    <x v="1"/>
    <d v="2022-10-09T00:00:00"/>
    <x v="1"/>
    <n v="5354"/>
    <n v="2730"/>
    <n v="2.44"/>
    <n v="94"/>
  </r>
  <r>
    <s v="S2050"/>
    <x v="1050"/>
    <x v="5"/>
    <x v="3"/>
    <d v="2022-05-10T00:00:00"/>
    <x v="1"/>
    <n v="2479"/>
    <n v="1588"/>
    <n v="3.71"/>
    <n v="100"/>
  </r>
  <r>
    <s v="S2051"/>
    <x v="1051"/>
    <x v="0"/>
    <x v="3"/>
    <s v="3/22/2023"/>
    <x v="2"/>
    <n v="6810"/>
    <n v="405"/>
    <n v="2.94"/>
    <n v="46"/>
  </r>
  <r>
    <s v="S2052"/>
    <x v="1052"/>
    <x v="0"/>
    <x v="1"/>
    <d v="2022-06-06T00:00:00"/>
    <x v="0"/>
    <n v="7686"/>
    <n v="9818"/>
    <n v="2.69"/>
    <n v="4"/>
  </r>
  <r>
    <s v="S2053"/>
    <x v="1053"/>
    <x v="6"/>
    <x v="0"/>
    <s v="11/23/2022"/>
    <x v="0"/>
    <n v="7121"/>
    <n v="7090"/>
    <n v="3.87"/>
    <n v="28"/>
  </r>
  <r>
    <s v="S2054"/>
    <x v="1054"/>
    <x v="1"/>
    <x v="2"/>
    <d v="2024-07-06T00:00:00"/>
    <x v="1"/>
    <n v="3813"/>
    <n v="1221"/>
    <n v="2.78"/>
    <n v="55"/>
  </r>
  <r>
    <s v="S2055"/>
    <x v="1055"/>
    <x v="7"/>
    <x v="3"/>
    <s v="4/28/2024"/>
    <x v="1"/>
    <n v="5115"/>
    <n v="6700"/>
    <n v="3.09"/>
    <n v="35"/>
  </r>
  <r>
    <s v="S2056"/>
    <x v="1056"/>
    <x v="5"/>
    <x v="1"/>
    <d v="2023-06-02T00:00:00"/>
    <x v="0"/>
    <n v="8897"/>
    <n v="2452"/>
    <n v="3.51"/>
    <n v="90"/>
  </r>
  <r>
    <s v="S2057"/>
    <x v="1057"/>
    <x v="4"/>
    <x v="2"/>
    <s v="4/26/2024"/>
    <x v="0"/>
    <n v="10286"/>
    <n v="8637"/>
    <n v="2.17"/>
    <n v="76"/>
  </r>
  <r>
    <s v="S2058"/>
    <x v="1058"/>
    <x v="2"/>
    <x v="2"/>
    <s v="3/30/2024"/>
    <x v="1"/>
    <n v="6792"/>
    <n v="999"/>
    <n v="2.19"/>
    <n v="6"/>
  </r>
  <r>
    <s v="S2059"/>
    <x v="1059"/>
    <x v="3"/>
    <x v="3"/>
    <s v="2/25/2023"/>
    <x v="0"/>
    <n v="9636"/>
    <n v="8999"/>
    <n v="2.4900000000000002"/>
    <n v="46"/>
  </r>
  <r>
    <s v="S2060"/>
    <x v="1060"/>
    <x v="2"/>
    <x v="3"/>
    <d v="2022-03-01T00:00:00"/>
    <x v="0"/>
    <n v="14185"/>
    <n v="3785"/>
    <n v="3.14"/>
    <n v="84"/>
  </r>
  <r>
    <s v="S2061"/>
    <x v="1061"/>
    <x v="7"/>
    <x v="3"/>
    <s v="6/14/2023"/>
    <x v="0"/>
    <n v="13293"/>
    <n v="9628"/>
    <n v="2.66"/>
    <n v="99"/>
  </r>
  <r>
    <s v="S2062"/>
    <x v="1062"/>
    <x v="7"/>
    <x v="1"/>
    <s v="7/17/2023"/>
    <x v="1"/>
    <n v="7446"/>
    <n v="4781"/>
    <n v="3.43"/>
    <n v="101"/>
  </r>
  <r>
    <s v="S2063"/>
    <x v="1063"/>
    <x v="4"/>
    <x v="3"/>
    <s v="10/15/2022"/>
    <x v="0"/>
    <n v="11119"/>
    <n v="8712"/>
    <n v="3.96"/>
    <n v="103"/>
  </r>
  <r>
    <s v="S2064"/>
    <x v="1064"/>
    <x v="5"/>
    <x v="1"/>
    <d v="2022-02-09T00:00:00"/>
    <x v="0"/>
    <n v="13651"/>
    <n v="6144"/>
    <n v="3.84"/>
    <n v="76"/>
  </r>
  <r>
    <s v="S2065"/>
    <x v="1065"/>
    <x v="0"/>
    <x v="3"/>
    <d v="2022-02-06T00:00:00"/>
    <x v="0"/>
    <n v="4701"/>
    <n v="5681"/>
    <n v="2.84"/>
    <n v="44"/>
  </r>
  <r>
    <s v="S2066"/>
    <x v="1066"/>
    <x v="1"/>
    <x v="3"/>
    <s v="4/13/2024"/>
    <x v="2"/>
    <n v="9016"/>
    <n v="7292"/>
    <n v="2.7"/>
    <n v="5"/>
  </r>
  <r>
    <s v="S2067"/>
    <x v="1067"/>
    <x v="6"/>
    <x v="1"/>
    <s v="7/13/2023"/>
    <x v="1"/>
    <n v="6208"/>
    <n v="6067"/>
    <n v="3.75"/>
    <n v="93"/>
  </r>
  <r>
    <s v="S2068"/>
    <x v="1068"/>
    <x v="4"/>
    <x v="0"/>
    <s v="6/13/2023"/>
    <x v="1"/>
    <n v="5697"/>
    <n v="3573"/>
    <n v="3.77"/>
    <n v="79"/>
  </r>
  <r>
    <s v="S2069"/>
    <x v="1069"/>
    <x v="2"/>
    <x v="2"/>
    <d v="2022-07-01T00:00:00"/>
    <x v="0"/>
    <n v="14742"/>
    <n v="445"/>
    <n v="2.5499999999999998"/>
    <n v="6"/>
  </r>
  <r>
    <s v="S2070"/>
    <x v="1070"/>
    <x v="6"/>
    <x v="3"/>
    <s v="6/28/2022"/>
    <x v="1"/>
    <n v="2296"/>
    <n v="325"/>
    <n v="2.64"/>
    <n v="71"/>
  </r>
  <r>
    <s v="S2071"/>
    <x v="1071"/>
    <x v="7"/>
    <x v="3"/>
    <d v="2023-01-11T00:00:00"/>
    <x v="0"/>
    <n v="10330"/>
    <n v="5973"/>
    <n v="2.65"/>
    <n v="50"/>
  </r>
  <r>
    <s v="S2072"/>
    <x v="1072"/>
    <x v="4"/>
    <x v="0"/>
    <d v="2023-11-12T00:00:00"/>
    <x v="2"/>
    <n v="2000"/>
    <n v="8608"/>
    <n v="3.95"/>
    <n v="2"/>
  </r>
  <r>
    <s v="S2073"/>
    <x v="1073"/>
    <x v="7"/>
    <x v="1"/>
    <s v="2/25/2023"/>
    <x v="1"/>
    <n v="8970"/>
    <n v="6430"/>
    <n v="2.04"/>
    <n v="97"/>
  </r>
  <r>
    <s v="S2074"/>
    <x v="1074"/>
    <x v="7"/>
    <x v="1"/>
    <s v="7/19/2023"/>
    <x v="1"/>
    <n v="5560"/>
    <n v="6629"/>
    <n v="2.4700000000000002"/>
    <n v="66"/>
  </r>
  <r>
    <s v="S2075"/>
    <x v="1075"/>
    <x v="0"/>
    <x v="0"/>
    <s v="9/27/2023"/>
    <x v="0"/>
    <n v="7903"/>
    <n v="897"/>
    <n v="2.0699999999999998"/>
    <n v="110"/>
  </r>
  <r>
    <s v="S2076"/>
    <x v="1076"/>
    <x v="7"/>
    <x v="2"/>
    <s v="6/27/2023"/>
    <x v="0"/>
    <n v="4119"/>
    <n v="8833"/>
    <n v="3.31"/>
    <n v="74"/>
  </r>
  <r>
    <s v="S2077"/>
    <x v="1077"/>
    <x v="4"/>
    <x v="3"/>
    <s v="3/27/2024"/>
    <x v="2"/>
    <n v="7853"/>
    <n v="2032"/>
    <n v="3.33"/>
    <n v="96"/>
  </r>
  <r>
    <s v="S2078"/>
    <x v="1078"/>
    <x v="0"/>
    <x v="0"/>
    <s v="12/23/2022"/>
    <x v="2"/>
    <n v="7107"/>
    <n v="1911"/>
    <n v="2.87"/>
    <n v="73"/>
  </r>
  <r>
    <s v="S2079"/>
    <x v="1079"/>
    <x v="1"/>
    <x v="1"/>
    <d v="2024-03-04T00:00:00"/>
    <x v="0"/>
    <n v="3245"/>
    <n v="6823"/>
    <n v="2.5"/>
    <n v="16"/>
  </r>
  <r>
    <s v="S2080"/>
    <x v="1080"/>
    <x v="1"/>
    <x v="0"/>
    <d v="2024-05-04T00:00:00"/>
    <x v="0"/>
    <n v="4892"/>
    <n v="7034"/>
    <n v="3.83"/>
    <n v="43"/>
  </r>
  <r>
    <s v="S2081"/>
    <x v="1081"/>
    <x v="6"/>
    <x v="3"/>
    <d v="2022-12-10T00:00:00"/>
    <x v="0"/>
    <n v="5130"/>
    <n v="9628"/>
    <n v="2.56"/>
    <n v="113"/>
  </r>
  <r>
    <s v="S2082"/>
    <x v="1082"/>
    <x v="3"/>
    <x v="3"/>
    <s v="9/27/2022"/>
    <x v="0"/>
    <n v="12773"/>
    <n v="1546"/>
    <n v="3.89"/>
    <n v="96"/>
  </r>
  <r>
    <s v="S2083"/>
    <x v="1083"/>
    <x v="6"/>
    <x v="1"/>
    <s v="7/16/2022"/>
    <x v="1"/>
    <n v="11415"/>
    <n v="2626"/>
    <n v="3.4"/>
    <n v="5"/>
  </r>
  <r>
    <s v="S2084"/>
    <x v="1084"/>
    <x v="6"/>
    <x v="3"/>
    <s v="7/30/2022"/>
    <x v="0"/>
    <n v="8463"/>
    <n v="6739"/>
    <n v="3.87"/>
    <n v="33"/>
  </r>
  <r>
    <s v="S2085"/>
    <x v="1085"/>
    <x v="5"/>
    <x v="3"/>
    <s v="2/26/2022"/>
    <x v="0"/>
    <n v="13713"/>
    <n v="3304"/>
    <n v="3.81"/>
    <n v="54"/>
  </r>
  <r>
    <s v="S2086"/>
    <x v="1086"/>
    <x v="4"/>
    <x v="3"/>
    <d v="2022-02-02T00:00:00"/>
    <x v="0"/>
    <n v="10725"/>
    <n v="6124"/>
    <n v="3.94"/>
    <n v="41"/>
  </r>
  <r>
    <s v="S2087"/>
    <x v="1087"/>
    <x v="1"/>
    <x v="3"/>
    <s v="6/28/2023"/>
    <x v="2"/>
    <n v="11630"/>
    <n v="7578"/>
    <n v="3.65"/>
    <n v="111"/>
  </r>
  <r>
    <s v="S2088"/>
    <x v="1088"/>
    <x v="6"/>
    <x v="2"/>
    <d v="2024-01-05T00:00:00"/>
    <x v="0"/>
    <n v="12478"/>
    <n v="8335"/>
    <n v="3.01"/>
    <n v="22"/>
  </r>
  <r>
    <s v="S2089"/>
    <x v="1089"/>
    <x v="2"/>
    <x v="3"/>
    <s v="6/13/2022"/>
    <x v="2"/>
    <n v="8685"/>
    <n v="2204"/>
    <n v="2.29"/>
    <n v="1"/>
  </r>
  <r>
    <s v="S2090"/>
    <x v="1090"/>
    <x v="5"/>
    <x v="3"/>
    <s v="2/26/2023"/>
    <x v="0"/>
    <n v="6591"/>
    <n v="8495"/>
    <n v="2.29"/>
    <n v="46"/>
  </r>
  <r>
    <s v="S2091"/>
    <x v="1091"/>
    <x v="5"/>
    <x v="3"/>
    <s v="2/26/2023"/>
    <x v="0"/>
    <n v="8141"/>
    <n v="7905"/>
    <n v="2.77"/>
    <n v="46"/>
  </r>
  <r>
    <s v="S2092"/>
    <x v="1092"/>
    <x v="1"/>
    <x v="2"/>
    <s v="3/15/2022"/>
    <x v="0"/>
    <n v="3019"/>
    <n v="6321"/>
    <n v="2.82"/>
    <n v="79"/>
  </r>
  <r>
    <s v="S2093"/>
    <x v="1093"/>
    <x v="7"/>
    <x v="2"/>
    <s v="12/23/2023"/>
    <x v="1"/>
    <n v="8929"/>
    <n v="7083"/>
    <n v="2.68"/>
    <n v="104"/>
  </r>
  <r>
    <s v="S2094"/>
    <x v="1094"/>
    <x v="7"/>
    <x v="3"/>
    <s v="1/15/2022"/>
    <x v="0"/>
    <n v="11878"/>
    <n v="4182"/>
    <n v="3.52"/>
    <n v="96"/>
  </r>
  <r>
    <s v="S2095"/>
    <x v="1095"/>
    <x v="5"/>
    <x v="0"/>
    <s v="11/29/2023"/>
    <x v="1"/>
    <n v="11961"/>
    <n v="8528"/>
    <n v="3.72"/>
    <n v="16"/>
  </r>
  <r>
    <s v="S2096"/>
    <x v="1096"/>
    <x v="0"/>
    <x v="0"/>
    <d v="2022-09-06T00:00:00"/>
    <x v="1"/>
    <n v="14062"/>
    <n v="9193"/>
    <n v="3.07"/>
    <n v="103"/>
  </r>
  <r>
    <s v="S2097"/>
    <x v="1097"/>
    <x v="7"/>
    <x v="2"/>
    <d v="2022-07-08T00:00:00"/>
    <x v="1"/>
    <n v="7312"/>
    <n v="8464"/>
    <n v="2.74"/>
    <n v="104"/>
  </r>
  <r>
    <s v="S2098"/>
    <x v="1098"/>
    <x v="7"/>
    <x v="2"/>
    <d v="2023-07-04T00:00:00"/>
    <x v="0"/>
    <n v="5745"/>
    <n v="499"/>
    <n v="3.1"/>
    <n v="31"/>
  </r>
  <r>
    <s v="S2099"/>
    <x v="1099"/>
    <x v="1"/>
    <x v="3"/>
    <s v="6/14/2022"/>
    <x v="2"/>
    <n v="6844"/>
    <n v="1405"/>
    <n v="3.05"/>
    <n v="44"/>
  </r>
  <r>
    <s v="S2100"/>
    <x v="1100"/>
    <x v="7"/>
    <x v="1"/>
    <d v="2022-11-07T00:00:00"/>
    <x v="0"/>
    <n v="13054"/>
    <n v="4741"/>
    <n v="3.54"/>
    <n v="31"/>
  </r>
  <r>
    <s v="S2101"/>
    <x v="1101"/>
    <x v="5"/>
    <x v="2"/>
    <s v="3/22/2023"/>
    <x v="0"/>
    <n v="10986"/>
    <n v="8048"/>
    <n v="3.16"/>
    <n v="70"/>
  </r>
  <r>
    <s v="S2102"/>
    <x v="1102"/>
    <x v="1"/>
    <x v="1"/>
    <d v="2024-09-05T00:00:00"/>
    <x v="2"/>
    <n v="3798"/>
    <n v="1392"/>
    <n v="2.2999999999999998"/>
    <n v="98"/>
  </r>
  <r>
    <s v="S2103"/>
    <x v="1103"/>
    <x v="6"/>
    <x v="0"/>
    <d v="2024-10-02T00:00:00"/>
    <x v="1"/>
    <n v="8999"/>
    <n v="7122"/>
    <n v="2.0499999999999998"/>
    <n v="115"/>
  </r>
  <r>
    <s v="S2104"/>
    <x v="1104"/>
    <x v="0"/>
    <x v="3"/>
    <s v="3/29/2022"/>
    <x v="0"/>
    <n v="4243"/>
    <n v="6445"/>
    <n v="3.32"/>
    <n v="18"/>
  </r>
  <r>
    <s v="S2105"/>
    <x v="1105"/>
    <x v="0"/>
    <x v="0"/>
    <s v="5/25/2023"/>
    <x v="1"/>
    <n v="2171"/>
    <n v="2358"/>
    <n v="2.4500000000000002"/>
    <n v="31"/>
  </r>
  <r>
    <s v="S2106"/>
    <x v="1106"/>
    <x v="3"/>
    <x v="3"/>
    <d v="2022-05-10T00:00:00"/>
    <x v="1"/>
    <n v="4746"/>
    <n v="1220"/>
    <n v="3.26"/>
    <n v="10"/>
  </r>
  <r>
    <s v="S2107"/>
    <x v="1107"/>
    <x v="1"/>
    <x v="1"/>
    <d v="2024-07-02T00:00:00"/>
    <x v="0"/>
    <n v="5813"/>
    <n v="8271"/>
    <n v="3.89"/>
    <n v="13"/>
  </r>
  <r>
    <s v="S2108"/>
    <x v="1108"/>
    <x v="5"/>
    <x v="0"/>
    <d v="2022-07-02T00:00:00"/>
    <x v="0"/>
    <n v="11997"/>
    <n v="3979"/>
    <n v="3.75"/>
    <n v="81"/>
  </r>
  <r>
    <s v="S2109"/>
    <x v="1109"/>
    <x v="5"/>
    <x v="2"/>
    <s v="11/26/2022"/>
    <x v="1"/>
    <n v="3129"/>
    <n v="3377"/>
    <n v="2.92"/>
    <n v="94"/>
  </r>
  <r>
    <s v="S2110"/>
    <x v="1110"/>
    <x v="2"/>
    <x v="3"/>
    <s v="12/18/2023"/>
    <x v="0"/>
    <n v="4829"/>
    <n v="2463"/>
    <n v="3.81"/>
    <n v="71"/>
  </r>
  <r>
    <s v="S2111"/>
    <x v="1111"/>
    <x v="1"/>
    <x v="2"/>
    <d v="2023-10-12T00:00:00"/>
    <x v="0"/>
    <n v="13773"/>
    <n v="9595"/>
    <n v="2.15"/>
    <n v="22"/>
  </r>
  <r>
    <s v="S2112"/>
    <x v="1112"/>
    <x v="7"/>
    <x v="1"/>
    <s v="11/14/2022"/>
    <x v="1"/>
    <n v="7845"/>
    <n v="1768"/>
    <n v="3.79"/>
    <n v="82"/>
  </r>
  <r>
    <s v="S2113"/>
    <x v="1113"/>
    <x v="4"/>
    <x v="2"/>
    <s v="2/15/2024"/>
    <x v="1"/>
    <n v="14112"/>
    <n v="4858"/>
    <n v="2.48"/>
    <n v="106"/>
  </r>
  <r>
    <s v="S2114"/>
    <x v="1114"/>
    <x v="1"/>
    <x v="2"/>
    <s v="5/17/2024"/>
    <x v="0"/>
    <n v="8386"/>
    <n v="6949"/>
    <n v="2.54"/>
    <n v="97"/>
  </r>
  <r>
    <s v="S2115"/>
    <x v="1115"/>
    <x v="6"/>
    <x v="1"/>
    <s v="7/29/2023"/>
    <x v="0"/>
    <n v="11924"/>
    <n v="8400"/>
    <n v="3.46"/>
    <n v="23"/>
  </r>
  <r>
    <s v="S2116"/>
    <x v="1116"/>
    <x v="4"/>
    <x v="2"/>
    <s v="3/27/2022"/>
    <x v="1"/>
    <n v="6259"/>
    <n v="6330"/>
    <n v="3.7"/>
    <n v="69"/>
  </r>
  <r>
    <s v="S2117"/>
    <x v="1117"/>
    <x v="2"/>
    <x v="2"/>
    <s v="2/25/2024"/>
    <x v="0"/>
    <n v="2965"/>
    <n v="4420"/>
    <n v="3.5"/>
    <n v="79"/>
  </r>
  <r>
    <s v="S2118"/>
    <x v="1118"/>
    <x v="0"/>
    <x v="0"/>
    <s v="2/25/2024"/>
    <x v="0"/>
    <n v="10945"/>
    <n v="3789"/>
    <n v="3.56"/>
    <n v="39"/>
  </r>
  <r>
    <s v="S2119"/>
    <x v="1119"/>
    <x v="6"/>
    <x v="3"/>
    <s v="4/24/2024"/>
    <x v="1"/>
    <n v="5840"/>
    <n v="9839"/>
    <n v="3.91"/>
    <n v="21"/>
  </r>
  <r>
    <s v="S2120"/>
    <x v="1120"/>
    <x v="4"/>
    <x v="3"/>
    <s v="12/28/2023"/>
    <x v="1"/>
    <n v="11837"/>
    <n v="4235"/>
    <n v="3.73"/>
    <n v="67"/>
  </r>
  <r>
    <s v="S2121"/>
    <x v="1121"/>
    <x v="7"/>
    <x v="2"/>
    <s v="11/15/2023"/>
    <x v="1"/>
    <n v="2593"/>
    <n v="3001"/>
    <n v="2.4"/>
    <n v="25"/>
  </r>
  <r>
    <s v="S2122"/>
    <x v="1122"/>
    <x v="1"/>
    <x v="3"/>
    <s v="10/23/2023"/>
    <x v="0"/>
    <n v="4320"/>
    <n v="5243"/>
    <n v="4"/>
    <n v="67"/>
  </r>
  <r>
    <s v="S2123"/>
    <x v="1123"/>
    <x v="1"/>
    <x v="0"/>
    <d v="2022-06-08T00:00:00"/>
    <x v="1"/>
    <n v="5074"/>
    <n v="3228"/>
    <n v="3.89"/>
    <n v="10"/>
  </r>
  <r>
    <s v="S2124"/>
    <x v="1124"/>
    <x v="1"/>
    <x v="3"/>
    <s v="7/31/2023"/>
    <x v="0"/>
    <n v="10173"/>
    <n v="2208"/>
    <n v="2.9"/>
    <n v="3"/>
  </r>
  <r>
    <s v="S2125"/>
    <x v="1125"/>
    <x v="4"/>
    <x v="0"/>
    <d v="2022-03-05T00:00:00"/>
    <x v="1"/>
    <n v="12039"/>
    <n v="2849"/>
    <n v="2.93"/>
    <n v="4"/>
  </r>
  <r>
    <s v="S2126"/>
    <x v="1126"/>
    <x v="7"/>
    <x v="2"/>
    <d v="2023-03-09T00:00:00"/>
    <x v="0"/>
    <n v="9593"/>
    <n v="3437"/>
    <n v="3.75"/>
    <n v="117"/>
  </r>
  <r>
    <s v="S2127"/>
    <x v="1127"/>
    <x v="7"/>
    <x v="2"/>
    <d v="2022-12-09T00:00:00"/>
    <x v="0"/>
    <n v="12305"/>
    <n v="4221"/>
    <n v="3.38"/>
    <n v="40"/>
  </r>
  <r>
    <s v="S2128"/>
    <x v="1128"/>
    <x v="1"/>
    <x v="3"/>
    <s v="9/27/2023"/>
    <x v="0"/>
    <n v="10591"/>
    <n v="8903"/>
    <n v="3.69"/>
    <n v="106"/>
  </r>
  <r>
    <s v="S2129"/>
    <x v="1129"/>
    <x v="5"/>
    <x v="3"/>
    <s v="9/30/2023"/>
    <x v="0"/>
    <n v="7321"/>
    <n v="2534"/>
    <n v="3.52"/>
    <n v="33"/>
  </r>
  <r>
    <s v="S2130"/>
    <x v="1130"/>
    <x v="1"/>
    <x v="2"/>
    <d v="2023-04-11T00:00:00"/>
    <x v="0"/>
    <n v="7742"/>
    <n v="3650"/>
    <n v="3.42"/>
    <n v="60"/>
  </r>
  <r>
    <s v="S2131"/>
    <x v="1131"/>
    <x v="3"/>
    <x v="2"/>
    <s v="3/20/2024"/>
    <x v="0"/>
    <n v="11854"/>
    <n v="1254"/>
    <n v="3.76"/>
    <n v="1"/>
  </r>
  <r>
    <s v="S2132"/>
    <x v="1132"/>
    <x v="3"/>
    <x v="3"/>
    <s v="2/25/2023"/>
    <x v="2"/>
    <n v="3324"/>
    <n v="6168"/>
    <n v="3.97"/>
    <n v="54"/>
  </r>
  <r>
    <s v="S2133"/>
    <x v="1133"/>
    <x v="1"/>
    <x v="3"/>
    <s v="3/30/2024"/>
    <x v="0"/>
    <n v="6655"/>
    <n v="8989"/>
    <n v="3.86"/>
    <n v="82"/>
  </r>
  <r>
    <s v="S2134"/>
    <x v="1134"/>
    <x v="5"/>
    <x v="0"/>
    <d v="2022-10-01T00:00:00"/>
    <x v="0"/>
    <n v="6724"/>
    <n v="1796"/>
    <n v="3.56"/>
    <n v="9"/>
  </r>
  <r>
    <s v="S2135"/>
    <x v="1135"/>
    <x v="7"/>
    <x v="3"/>
    <d v="2024-01-02T00:00:00"/>
    <x v="1"/>
    <n v="7277"/>
    <n v="7758"/>
    <n v="3.04"/>
    <n v="0"/>
  </r>
  <r>
    <s v="S2136"/>
    <x v="1136"/>
    <x v="3"/>
    <x v="2"/>
    <s v="3/17/2022"/>
    <x v="0"/>
    <n v="10295"/>
    <n v="4718"/>
    <n v="2.93"/>
    <n v="80"/>
  </r>
  <r>
    <s v="S2137"/>
    <x v="1137"/>
    <x v="2"/>
    <x v="2"/>
    <d v="2022-08-02T00:00:00"/>
    <x v="0"/>
    <n v="14993"/>
    <n v="3599"/>
    <n v="2.61"/>
    <n v="47"/>
  </r>
  <r>
    <s v="S2138"/>
    <x v="1138"/>
    <x v="1"/>
    <x v="3"/>
    <s v="12/24/2023"/>
    <x v="0"/>
    <n v="4493"/>
    <n v="7576"/>
    <n v="2.69"/>
    <n v="99"/>
  </r>
  <r>
    <s v="S2139"/>
    <x v="1139"/>
    <x v="0"/>
    <x v="2"/>
    <s v="3/25/2023"/>
    <x v="0"/>
    <n v="6908"/>
    <n v="4097"/>
    <n v="3.41"/>
    <n v="65"/>
  </r>
  <r>
    <s v="S2140"/>
    <x v="1140"/>
    <x v="7"/>
    <x v="2"/>
    <s v="6/15/2022"/>
    <x v="0"/>
    <n v="13292"/>
    <n v="1593"/>
    <n v="3.54"/>
    <n v="72"/>
  </r>
  <r>
    <s v="S2141"/>
    <x v="1141"/>
    <x v="6"/>
    <x v="2"/>
    <d v="2024-12-03T00:00:00"/>
    <x v="0"/>
    <n v="14486"/>
    <n v="3971"/>
    <n v="3.31"/>
    <n v="97"/>
  </r>
  <r>
    <s v="S2142"/>
    <x v="1142"/>
    <x v="3"/>
    <x v="1"/>
    <s v="5/29/2024"/>
    <x v="1"/>
    <n v="9401"/>
    <n v="6397"/>
    <n v="3.79"/>
    <n v="99"/>
  </r>
  <r>
    <s v="S2143"/>
    <x v="1143"/>
    <x v="3"/>
    <x v="0"/>
    <s v="2/13/2024"/>
    <x v="0"/>
    <n v="9412"/>
    <n v="8356"/>
    <n v="2.4900000000000002"/>
    <n v="57"/>
  </r>
  <r>
    <s v="S2144"/>
    <x v="1144"/>
    <x v="6"/>
    <x v="0"/>
    <d v="2023-11-12T00:00:00"/>
    <x v="0"/>
    <n v="4940"/>
    <n v="3090"/>
    <n v="3.66"/>
    <n v="59"/>
  </r>
  <r>
    <s v="S2145"/>
    <x v="1145"/>
    <x v="1"/>
    <x v="3"/>
    <d v="2024-04-05T00:00:00"/>
    <x v="1"/>
    <n v="2258"/>
    <n v="2167"/>
    <n v="3.71"/>
    <n v="37"/>
  </r>
  <r>
    <s v="S2146"/>
    <x v="1146"/>
    <x v="6"/>
    <x v="3"/>
    <s v="6/28/2023"/>
    <x v="0"/>
    <n v="12187"/>
    <n v="6773"/>
    <n v="3.49"/>
    <n v="74"/>
  </r>
  <r>
    <s v="S2147"/>
    <x v="1147"/>
    <x v="7"/>
    <x v="2"/>
    <s v="10/21/2022"/>
    <x v="0"/>
    <n v="11200"/>
    <n v="302"/>
    <n v="2.75"/>
    <n v="13"/>
  </r>
  <r>
    <s v="S2148"/>
    <x v="1148"/>
    <x v="3"/>
    <x v="1"/>
    <s v="12/14/2022"/>
    <x v="0"/>
    <n v="3576"/>
    <n v="1605"/>
    <n v="2.0699999999999998"/>
    <n v="18"/>
  </r>
  <r>
    <s v="S2149"/>
    <x v="1149"/>
    <x v="2"/>
    <x v="2"/>
    <s v="11/20/2023"/>
    <x v="0"/>
    <n v="6142"/>
    <n v="1679"/>
    <n v="2.72"/>
    <n v="82"/>
  </r>
  <r>
    <s v="S2150"/>
    <x v="1150"/>
    <x v="4"/>
    <x v="1"/>
    <d v="2023-08-05T00:00:00"/>
    <x v="0"/>
    <n v="11980"/>
    <n v="6646"/>
    <n v="2.04"/>
    <n v="84"/>
  </r>
  <r>
    <s v="S2151"/>
    <x v="1151"/>
    <x v="3"/>
    <x v="1"/>
    <s v="6/18/2024"/>
    <x v="0"/>
    <n v="7486"/>
    <n v="7006"/>
    <n v="2.86"/>
    <n v="104"/>
  </r>
  <r>
    <s v="S2152"/>
    <x v="1152"/>
    <x v="6"/>
    <x v="0"/>
    <d v="2023-03-11T00:00:00"/>
    <x v="0"/>
    <n v="5997"/>
    <n v="6311"/>
    <n v="2.66"/>
    <n v="49"/>
  </r>
  <r>
    <s v="S2153"/>
    <x v="1153"/>
    <x v="6"/>
    <x v="2"/>
    <s v="2/17/2022"/>
    <x v="1"/>
    <n v="10841"/>
    <n v="3690"/>
    <n v="2.39"/>
    <n v="68"/>
  </r>
  <r>
    <s v="S2154"/>
    <x v="1154"/>
    <x v="3"/>
    <x v="3"/>
    <d v="2023-07-09T00:00:00"/>
    <x v="0"/>
    <n v="3841"/>
    <n v="4198"/>
    <n v="2.38"/>
    <n v="53"/>
  </r>
  <r>
    <s v="S2155"/>
    <x v="1155"/>
    <x v="0"/>
    <x v="3"/>
    <d v="2024-12-06T00:00:00"/>
    <x v="0"/>
    <n v="13164"/>
    <n v="4550"/>
    <n v="3.08"/>
    <n v="62"/>
  </r>
  <r>
    <s v="S2156"/>
    <x v="1156"/>
    <x v="2"/>
    <x v="0"/>
    <s v="2/26/2023"/>
    <x v="2"/>
    <n v="5796"/>
    <n v="9267"/>
    <n v="3.81"/>
    <n v="68"/>
  </r>
  <r>
    <s v="S2157"/>
    <x v="1157"/>
    <x v="2"/>
    <x v="2"/>
    <s v="6/22/2022"/>
    <x v="0"/>
    <n v="9635"/>
    <n v="3090"/>
    <n v="2.99"/>
    <n v="33"/>
  </r>
  <r>
    <s v="S2158"/>
    <x v="1158"/>
    <x v="1"/>
    <x v="0"/>
    <s v="2/21/2024"/>
    <x v="0"/>
    <n v="2086"/>
    <n v="9790"/>
    <n v="2.17"/>
    <n v="27"/>
  </r>
  <r>
    <s v="S2159"/>
    <x v="1159"/>
    <x v="2"/>
    <x v="2"/>
    <d v="2022-01-11T00:00:00"/>
    <x v="0"/>
    <n v="8164"/>
    <n v="1674"/>
    <n v="3.24"/>
    <n v="114"/>
  </r>
  <r>
    <s v="S2160"/>
    <x v="1160"/>
    <x v="4"/>
    <x v="1"/>
    <d v="2024-03-06T00:00:00"/>
    <x v="1"/>
    <n v="8694"/>
    <n v="4198"/>
    <n v="3.36"/>
    <n v="28"/>
  </r>
  <r>
    <s v="S2161"/>
    <x v="1161"/>
    <x v="1"/>
    <x v="0"/>
    <d v="2023-01-07T00:00:00"/>
    <x v="2"/>
    <n v="2766"/>
    <n v="3689"/>
    <n v="2.29"/>
    <n v="38"/>
  </r>
  <r>
    <s v="S2162"/>
    <x v="1162"/>
    <x v="7"/>
    <x v="1"/>
    <s v="9/13/2022"/>
    <x v="0"/>
    <n v="8228"/>
    <n v="2328"/>
    <n v="2.2000000000000002"/>
    <n v="113"/>
  </r>
  <r>
    <s v="S2163"/>
    <x v="1163"/>
    <x v="1"/>
    <x v="2"/>
    <s v="1/20/2023"/>
    <x v="0"/>
    <n v="6310"/>
    <n v="6133"/>
    <n v="3.37"/>
    <n v="82"/>
  </r>
  <r>
    <s v="S2164"/>
    <x v="1164"/>
    <x v="2"/>
    <x v="0"/>
    <s v="6/18/2022"/>
    <x v="1"/>
    <n v="7845"/>
    <n v="8796"/>
    <n v="3.54"/>
    <n v="22"/>
  </r>
  <r>
    <s v="S2165"/>
    <x v="1165"/>
    <x v="0"/>
    <x v="0"/>
    <s v="8/27/2022"/>
    <x v="0"/>
    <n v="9700"/>
    <n v="5277"/>
    <n v="3.74"/>
    <n v="61"/>
  </r>
  <r>
    <s v="S2166"/>
    <x v="1166"/>
    <x v="5"/>
    <x v="2"/>
    <s v="5/26/2024"/>
    <x v="0"/>
    <n v="6402"/>
    <n v="8298"/>
    <n v="2.7"/>
    <n v="24"/>
  </r>
  <r>
    <s v="S2167"/>
    <x v="1167"/>
    <x v="7"/>
    <x v="2"/>
    <d v="2023-05-08T00:00:00"/>
    <x v="0"/>
    <n v="9573"/>
    <n v="6314"/>
    <n v="3.03"/>
    <n v="20"/>
  </r>
  <r>
    <s v="S2168"/>
    <x v="1168"/>
    <x v="4"/>
    <x v="0"/>
    <s v="1/19/2023"/>
    <x v="1"/>
    <n v="7706"/>
    <n v="6640"/>
    <n v="3.18"/>
    <n v="59"/>
  </r>
  <r>
    <s v="S2169"/>
    <x v="1169"/>
    <x v="0"/>
    <x v="2"/>
    <d v="2022-02-07T00:00:00"/>
    <x v="0"/>
    <n v="12608"/>
    <n v="1280"/>
    <n v="2.16"/>
    <n v="69"/>
  </r>
  <r>
    <s v="S2170"/>
    <x v="1170"/>
    <x v="3"/>
    <x v="3"/>
    <s v="5/23/2024"/>
    <x v="1"/>
    <n v="8446"/>
    <n v="2499"/>
    <n v="2.5099999999999998"/>
    <n v="20"/>
  </r>
  <r>
    <s v="S2171"/>
    <x v="1171"/>
    <x v="4"/>
    <x v="1"/>
    <d v="2024-12-03T00:00:00"/>
    <x v="0"/>
    <n v="2545"/>
    <n v="7321"/>
    <n v="3.37"/>
    <n v="92"/>
  </r>
  <r>
    <s v="S2172"/>
    <x v="1172"/>
    <x v="4"/>
    <x v="3"/>
    <d v="2022-11-06T00:00:00"/>
    <x v="0"/>
    <n v="8550"/>
    <n v="4769"/>
    <n v="3.71"/>
    <n v="96"/>
  </r>
  <r>
    <s v="S2173"/>
    <x v="1173"/>
    <x v="0"/>
    <x v="1"/>
    <s v="8/25/2023"/>
    <x v="0"/>
    <n v="12524"/>
    <n v="7194"/>
    <n v="2.37"/>
    <n v="83"/>
  </r>
  <r>
    <s v="S2174"/>
    <x v="1174"/>
    <x v="5"/>
    <x v="2"/>
    <s v="7/30/2022"/>
    <x v="1"/>
    <n v="10890"/>
    <n v="155"/>
    <n v="3.4"/>
    <n v="5"/>
  </r>
  <r>
    <s v="S2175"/>
    <x v="1175"/>
    <x v="6"/>
    <x v="3"/>
    <s v="5/16/2022"/>
    <x v="0"/>
    <n v="2192"/>
    <n v="6436"/>
    <n v="2.78"/>
    <n v="40"/>
  </r>
  <r>
    <s v="S2176"/>
    <x v="1176"/>
    <x v="7"/>
    <x v="0"/>
    <s v="5/17/2024"/>
    <x v="0"/>
    <n v="5414"/>
    <n v="7691"/>
    <n v="2.96"/>
    <n v="85"/>
  </r>
  <r>
    <s v="S2177"/>
    <x v="1177"/>
    <x v="4"/>
    <x v="0"/>
    <s v="1/28/2023"/>
    <x v="0"/>
    <n v="14445"/>
    <n v="8067"/>
    <n v="2.42"/>
    <n v="115"/>
  </r>
  <r>
    <s v="S2178"/>
    <x v="1178"/>
    <x v="4"/>
    <x v="1"/>
    <d v="2022-03-09T00:00:00"/>
    <x v="1"/>
    <n v="6203"/>
    <n v="4414"/>
    <n v="3.19"/>
    <n v="8"/>
  </r>
  <r>
    <s v="S2179"/>
    <x v="1179"/>
    <x v="7"/>
    <x v="2"/>
    <d v="2023-01-01T00:00:00"/>
    <x v="1"/>
    <n v="2102"/>
    <n v="541"/>
    <n v="2.87"/>
    <n v="65"/>
  </r>
  <r>
    <s v="S2180"/>
    <x v="1180"/>
    <x v="7"/>
    <x v="2"/>
    <s v="6/30/2022"/>
    <x v="0"/>
    <n v="11324"/>
    <n v="3891"/>
    <n v="2.94"/>
    <n v="86"/>
  </r>
  <r>
    <s v="S2181"/>
    <x v="1181"/>
    <x v="1"/>
    <x v="0"/>
    <d v="2022-11-06T00:00:00"/>
    <x v="0"/>
    <n v="5209"/>
    <n v="438"/>
    <n v="3.47"/>
    <n v="60"/>
  </r>
  <r>
    <s v="S2182"/>
    <x v="1182"/>
    <x v="1"/>
    <x v="3"/>
    <d v="2023-06-03T00:00:00"/>
    <x v="0"/>
    <n v="6599"/>
    <n v="5901"/>
    <n v="2.14"/>
    <n v="108"/>
  </r>
  <r>
    <s v="S2183"/>
    <x v="1183"/>
    <x v="6"/>
    <x v="0"/>
    <s v="8/13/2023"/>
    <x v="1"/>
    <n v="4959"/>
    <n v="7747"/>
    <n v="3.05"/>
    <n v="96"/>
  </r>
  <r>
    <s v="S2184"/>
    <x v="1184"/>
    <x v="1"/>
    <x v="3"/>
    <d v="2024-04-05T00:00:00"/>
    <x v="0"/>
    <n v="8084"/>
    <n v="6788"/>
    <n v="3.26"/>
    <n v="115"/>
  </r>
  <r>
    <s v="S2185"/>
    <x v="1185"/>
    <x v="0"/>
    <x v="0"/>
    <d v="2022-06-03T00:00:00"/>
    <x v="1"/>
    <n v="4306"/>
    <n v="3004"/>
    <n v="2"/>
    <n v="60"/>
  </r>
  <r>
    <s v="S2186"/>
    <x v="1186"/>
    <x v="2"/>
    <x v="2"/>
    <s v="4/27/2022"/>
    <x v="2"/>
    <n v="6691"/>
    <n v="7758"/>
    <n v="3.21"/>
    <n v="87"/>
  </r>
  <r>
    <s v="S2187"/>
    <x v="1187"/>
    <x v="2"/>
    <x v="1"/>
    <d v="2023-02-01T00:00:00"/>
    <x v="1"/>
    <n v="7712"/>
    <n v="5785"/>
    <n v="3.48"/>
    <n v="115"/>
  </r>
  <r>
    <s v="S2188"/>
    <x v="1188"/>
    <x v="4"/>
    <x v="1"/>
    <s v="7/15/2022"/>
    <x v="2"/>
    <n v="7597"/>
    <n v="9463"/>
    <n v="3.9"/>
    <n v="65"/>
  </r>
  <r>
    <s v="S2189"/>
    <x v="1189"/>
    <x v="0"/>
    <x v="0"/>
    <s v="7/26/2023"/>
    <x v="1"/>
    <n v="9288"/>
    <n v="8158"/>
    <n v="3.65"/>
    <n v="55"/>
  </r>
  <r>
    <s v="S2190"/>
    <x v="1190"/>
    <x v="6"/>
    <x v="3"/>
    <s v="4/15/2024"/>
    <x v="0"/>
    <n v="3940"/>
    <n v="4690"/>
    <n v="3.42"/>
    <n v="12"/>
  </r>
  <r>
    <s v="S2191"/>
    <x v="1191"/>
    <x v="0"/>
    <x v="2"/>
    <s v="1/23/2023"/>
    <x v="0"/>
    <n v="10498"/>
    <n v="3841"/>
    <n v="3.76"/>
    <n v="94"/>
  </r>
  <r>
    <s v="S2192"/>
    <x v="1192"/>
    <x v="2"/>
    <x v="1"/>
    <s v="1/18/2024"/>
    <x v="1"/>
    <n v="9664"/>
    <n v="5928"/>
    <n v="2.8"/>
    <n v="52"/>
  </r>
  <r>
    <s v="S2193"/>
    <x v="1193"/>
    <x v="7"/>
    <x v="2"/>
    <d v="2023-12-06T00:00:00"/>
    <x v="1"/>
    <n v="13106"/>
    <n v="6487"/>
    <n v="2.5299999999999998"/>
    <n v="61"/>
  </r>
  <r>
    <s v="S2194"/>
    <x v="1194"/>
    <x v="6"/>
    <x v="1"/>
    <d v="2023-11-02T00:00:00"/>
    <x v="1"/>
    <n v="9730"/>
    <n v="4810"/>
    <n v="3.13"/>
    <n v="73"/>
  </r>
  <r>
    <s v="S2195"/>
    <x v="1195"/>
    <x v="5"/>
    <x v="1"/>
    <d v="2023-12-10T00:00:00"/>
    <x v="0"/>
    <n v="8764"/>
    <n v="6811"/>
    <n v="3.72"/>
    <n v="100"/>
  </r>
  <r>
    <s v="S2196"/>
    <x v="1196"/>
    <x v="3"/>
    <x v="1"/>
    <s v="11/30/2023"/>
    <x v="2"/>
    <n v="11719"/>
    <n v="8671"/>
    <n v="2.4500000000000002"/>
    <n v="60"/>
  </r>
  <r>
    <s v="S2197"/>
    <x v="1197"/>
    <x v="0"/>
    <x v="1"/>
    <d v="2022-12-09T00:00:00"/>
    <x v="0"/>
    <n v="14745"/>
    <n v="5188"/>
    <n v="2.2999999999999998"/>
    <n v="106"/>
  </r>
  <r>
    <s v="S2198"/>
    <x v="1198"/>
    <x v="0"/>
    <x v="1"/>
    <d v="2023-08-09T00:00:00"/>
    <x v="0"/>
    <n v="9290"/>
    <n v="2010"/>
    <n v="3.08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83F7A-1392-49B0-9DC3-9F13D88515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8" subtotal="average" baseField="2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85615-0279-4B83-BB3E-957C2B105F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0" firstDataRow="1" firstDataCol="1"/>
  <pivotFields count="10">
    <pivotField dataField="1" showAll="0"/>
    <pivotField showAll="0">
      <items count="1200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2"/>
        <item x="120"/>
        <item x="121"/>
        <item x="122"/>
        <item x="123"/>
        <item x="124"/>
        <item x="125"/>
        <item x="126"/>
        <item x="127"/>
        <item x="128"/>
        <item x="129"/>
        <item x="13"/>
        <item x="130"/>
        <item x="131"/>
        <item x="132"/>
        <item x="133"/>
        <item x="134"/>
        <item x="135"/>
        <item x="136"/>
        <item x="137"/>
        <item x="138"/>
        <item x="139"/>
        <item x="14"/>
        <item x="140"/>
        <item x="141"/>
        <item x="142"/>
        <item x="143"/>
        <item x="144"/>
        <item x="145"/>
        <item x="146"/>
        <item x="147"/>
        <item x="148"/>
        <item x="149"/>
        <item x="15"/>
        <item x="150"/>
        <item x="151"/>
        <item x="152"/>
        <item x="153"/>
        <item x="154"/>
        <item x="155"/>
        <item x="156"/>
        <item x="157"/>
        <item x="158"/>
        <item x="159"/>
        <item x="16"/>
        <item x="160"/>
        <item x="161"/>
        <item x="162"/>
        <item x="163"/>
        <item x="164"/>
        <item x="165"/>
        <item x="166"/>
        <item x="167"/>
        <item x="168"/>
        <item x="169"/>
        <item x="17"/>
        <item x="170"/>
        <item x="171"/>
        <item x="172"/>
        <item x="173"/>
        <item x="174"/>
        <item x="175"/>
        <item x="176"/>
        <item x="177"/>
        <item x="178"/>
        <item x="179"/>
        <item x="18"/>
        <item x="180"/>
        <item x="181"/>
        <item x="182"/>
        <item x="183"/>
        <item x="184"/>
        <item x="185"/>
        <item x="186"/>
        <item x="187"/>
        <item x="188"/>
        <item x="189"/>
        <item x="19"/>
        <item x="190"/>
        <item x="191"/>
        <item x="192"/>
        <item x="193"/>
        <item x="194"/>
        <item x="195"/>
        <item x="196"/>
        <item x="197"/>
        <item x="198"/>
        <item x="1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showAll="0"/>
  </pivotFields>
  <rowFields count="2">
    <field x="3"/>
    <field x="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udent ID" fld="0" subtotal="count" baseField="3" baseItem="0"/>
    <dataField name="Average of GPA" fld="8" subtotal="average" baseField="3" baseItem="0"/>
    <dataField name="Sum of Scholarship" fld="7" baseField="3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22EF6-FEA4-4221-B40B-3546630D8E4B}" name="Table2" displayName="Table2" ref="T8:U17" totalsRowShown="0">
  <autoFilter ref="T8:U17" xr:uid="{99222EF6-FEA4-4221-B40B-3546630D8E4B}"/>
  <tableColumns count="2">
    <tableColumn id="1" xr3:uid="{1387AA4F-8D4E-49C8-9BF1-7538C5A5EDAD}" name="Faculty"/>
    <tableColumn id="2" xr3:uid="{B6A05416-8D78-45DD-AEE2-F44122690BAC}" name="Head 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BF23-DF58-4D14-BCDD-2DDA9EB4693F}">
  <dimension ref="A3:B12"/>
  <sheetViews>
    <sheetView workbookViewId="0">
      <selection activeCell="B5" sqref="B5"/>
    </sheetView>
  </sheetViews>
  <sheetFormatPr defaultRowHeight="15" x14ac:dyDescent="0.25"/>
  <cols>
    <col min="1" max="1" width="22.42578125" bestFit="1" customWidth="1"/>
    <col min="2" max="2" width="14.7109375" bestFit="1" customWidth="1"/>
  </cols>
  <sheetData>
    <row r="3" spans="1:2" x14ac:dyDescent="0.25">
      <c r="A3" s="2" t="s">
        <v>2817</v>
      </c>
      <c r="B3" t="s">
        <v>2819</v>
      </c>
    </row>
    <row r="4" spans="1:2" x14ac:dyDescent="0.25">
      <c r="A4" s="3" t="s">
        <v>58</v>
      </c>
      <c r="B4">
        <v>3.007792207792209</v>
      </c>
    </row>
    <row r="5" spans="1:2" x14ac:dyDescent="0.25">
      <c r="A5" s="3" t="s">
        <v>2</v>
      </c>
      <c r="B5">
        <v>3.0239716312056717</v>
      </c>
    </row>
    <row r="6" spans="1:2" x14ac:dyDescent="0.25">
      <c r="A6" s="3" t="s">
        <v>14</v>
      </c>
      <c r="B6">
        <v>2.9818181818181828</v>
      </c>
    </row>
    <row r="7" spans="1:2" x14ac:dyDescent="0.25">
      <c r="A7" s="3" t="s">
        <v>8</v>
      </c>
      <c r="B7">
        <v>3.0338194444444451</v>
      </c>
    </row>
    <row r="8" spans="1:2" x14ac:dyDescent="0.25">
      <c r="A8" s="3" t="s">
        <v>21</v>
      </c>
      <c r="B8">
        <v>3.0026506024096373</v>
      </c>
    </row>
    <row r="9" spans="1:2" x14ac:dyDescent="0.25">
      <c r="A9" s="3" t="s">
        <v>32</v>
      </c>
      <c r="B9">
        <v>2.9522424242424252</v>
      </c>
    </row>
    <row r="10" spans="1:2" x14ac:dyDescent="0.25">
      <c r="A10" s="3" t="s">
        <v>55</v>
      </c>
      <c r="B10">
        <v>2.9608860759493676</v>
      </c>
    </row>
    <row r="11" spans="1:2" x14ac:dyDescent="0.25">
      <c r="A11" s="3" t="s">
        <v>17</v>
      </c>
      <c r="B11">
        <v>3.0389208633093547</v>
      </c>
    </row>
    <row r="12" spans="1:2" x14ac:dyDescent="0.25">
      <c r="A12" s="3" t="s">
        <v>2818</v>
      </c>
      <c r="B12">
        <v>2.9990325271059213</v>
      </c>
    </row>
  </sheetData>
  <conditionalFormatting pivot="1" sqref="B7">
    <cfRule type="cellIs" dxfId="4" priority="1" operator="lessThan">
      <formula>2.96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07AC-C714-4E64-8E22-0BCCB78FA526}">
  <dimension ref="A3:D20"/>
  <sheetViews>
    <sheetView workbookViewId="0">
      <selection activeCell="C6" sqref="C6"/>
    </sheetView>
  </sheetViews>
  <sheetFormatPr defaultRowHeight="15" x14ac:dyDescent="0.25"/>
  <cols>
    <col min="1" max="1" width="14.140625" bestFit="1" customWidth="1"/>
    <col min="2" max="2" width="19.140625" bestFit="1" customWidth="1"/>
    <col min="3" max="3" width="14.7109375" bestFit="1" customWidth="1"/>
    <col min="4" max="4" width="18.5703125" bestFit="1" customWidth="1"/>
    <col min="5" max="5" width="8.140625" bestFit="1" customWidth="1"/>
    <col min="6" max="6" width="14.7109375" bestFit="1" customWidth="1"/>
    <col min="7" max="9" width="12" bestFit="1" customWidth="1"/>
    <col min="10" max="10" width="18.5703125" bestFit="1" customWidth="1"/>
    <col min="11" max="11" width="9.140625" bestFit="1" customWidth="1"/>
    <col min="12" max="12" width="11.7109375" bestFit="1" customWidth="1"/>
    <col min="13" max="13" width="8.140625" bestFit="1" customWidth="1"/>
    <col min="14" max="14" width="24.140625" bestFit="1" customWidth="1"/>
    <col min="15" max="15" width="19.7109375" bestFit="1" customWidth="1"/>
    <col min="16" max="16" width="23.5703125" bestFit="1" customWidth="1"/>
  </cols>
  <sheetData>
    <row r="3" spans="1:4" x14ac:dyDescent="0.25">
      <c r="A3" s="2" t="s">
        <v>2817</v>
      </c>
      <c r="B3" t="s">
        <v>2831</v>
      </c>
      <c r="C3" t="s">
        <v>2819</v>
      </c>
      <c r="D3" t="s">
        <v>2832</v>
      </c>
    </row>
    <row r="4" spans="1:4" x14ac:dyDescent="0.25">
      <c r="A4" s="3" t="s">
        <v>25</v>
      </c>
      <c r="B4">
        <v>297</v>
      </c>
      <c r="C4">
        <v>2.9453872053872043</v>
      </c>
      <c r="D4">
        <v>1476695</v>
      </c>
    </row>
    <row r="5" spans="1:4" x14ac:dyDescent="0.25">
      <c r="A5" s="4" t="s">
        <v>11</v>
      </c>
      <c r="B5">
        <v>95</v>
      </c>
      <c r="C5">
        <v>2.8859999999999997</v>
      </c>
      <c r="D5">
        <v>454957</v>
      </c>
    </row>
    <row r="6" spans="1:4" x14ac:dyDescent="0.25">
      <c r="A6" s="4" t="s">
        <v>36</v>
      </c>
      <c r="B6">
        <v>28</v>
      </c>
      <c r="C6">
        <v>3.0285714285714285</v>
      </c>
      <c r="D6">
        <v>118075</v>
      </c>
    </row>
    <row r="7" spans="1:4" x14ac:dyDescent="0.25">
      <c r="A7" s="4" t="s">
        <v>5</v>
      </c>
      <c r="B7">
        <v>174</v>
      </c>
      <c r="C7">
        <v>2.964425287356323</v>
      </c>
      <c r="D7">
        <v>903663</v>
      </c>
    </row>
    <row r="8" spans="1:4" x14ac:dyDescent="0.25">
      <c r="A8" s="3" t="s">
        <v>65</v>
      </c>
      <c r="B8">
        <v>308</v>
      </c>
      <c r="C8">
        <v>3.020097402597401</v>
      </c>
      <c r="D8">
        <v>1551463</v>
      </c>
    </row>
    <row r="9" spans="1:4" x14ac:dyDescent="0.25">
      <c r="A9" s="4" t="s">
        <v>11</v>
      </c>
      <c r="B9">
        <v>77</v>
      </c>
      <c r="C9">
        <v>3.0476623376623375</v>
      </c>
      <c r="D9">
        <v>390493</v>
      </c>
    </row>
    <row r="10" spans="1:4" x14ac:dyDescent="0.25">
      <c r="A10" s="4" t="s">
        <v>36</v>
      </c>
      <c r="B10">
        <v>30</v>
      </c>
      <c r="C10">
        <v>3.0523333333333329</v>
      </c>
      <c r="D10">
        <v>136218</v>
      </c>
    </row>
    <row r="11" spans="1:4" x14ac:dyDescent="0.25">
      <c r="A11" s="4" t="s">
        <v>5</v>
      </c>
      <c r="B11">
        <v>201</v>
      </c>
      <c r="C11">
        <v>3.0047263681592047</v>
      </c>
      <c r="D11">
        <v>1024752</v>
      </c>
    </row>
    <row r="12" spans="1:4" x14ac:dyDescent="0.25">
      <c r="A12" s="3" t="s">
        <v>3</v>
      </c>
      <c r="B12">
        <v>297</v>
      </c>
      <c r="C12">
        <v>3.0134006734006742</v>
      </c>
      <c r="D12">
        <v>1412848</v>
      </c>
    </row>
    <row r="13" spans="1:4" x14ac:dyDescent="0.25">
      <c r="A13" s="4" t="s">
        <v>11</v>
      </c>
      <c r="B13">
        <v>85</v>
      </c>
      <c r="C13">
        <v>3.0764705882352943</v>
      </c>
      <c r="D13">
        <v>415307</v>
      </c>
    </row>
    <row r="14" spans="1:4" x14ac:dyDescent="0.25">
      <c r="A14" s="4" t="s">
        <v>36</v>
      </c>
      <c r="B14">
        <v>26</v>
      </c>
      <c r="C14">
        <v>2.7511538461538469</v>
      </c>
      <c r="D14">
        <v>138856</v>
      </c>
    </row>
    <row r="15" spans="1:4" x14ac:dyDescent="0.25">
      <c r="A15" s="4" t="s">
        <v>5</v>
      </c>
      <c r="B15">
        <v>186</v>
      </c>
      <c r="C15">
        <v>3.0212365591397852</v>
      </c>
      <c r="D15">
        <v>858685</v>
      </c>
    </row>
    <row r="16" spans="1:4" x14ac:dyDescent="0.25">
      <c r="A16" s="3" t="s">
        <v>9</v>
      </c>
      <c r="B16">
        <v>297</v>
      </c>
      <c r="C16">
        <v>3.0164646464646458</v>
      </c>
      <c r="D16">
        <v>1495493</v>
      </c>
    </row>
    <row r="17" spans="1:4" x14ac:dyDescent="0.25">
      <c r="A17" s="4" t="s">
        <v>11</v>
      </c>
      <c r="B17">
        <v>96</v>
      </c>
      <c r="C17">
        <v>3.0353125000000012</v>
      </c>
      <c r="D17">
        <v>479858</v>
      </c>
    </row>
    <row r="18" spans="1:4" x14ac:dyDescent="0.25">
      <c r="A18" s="4" t="s">
        <v>36</v>
      </c>
      <c r="B18">
        <v>27</v>
      </c>
      <c r="C18">
        <v>2.934814814814815</v>
      </c>
      <c r="D18">
        <v>142544</v>
      </c>
    </row>
    <row r="19" spans="1:4" x14ac:dyDescent="0.25">
      <c r="A19" s="4" t="s">
        <v>5</v>
      </c>
      <c r="B19">
        <v>174</v>
      </c>
      <c r="C19">
        <v>3.0187356321839087</v>
      </c>
      <c r="D19">
        <v>873091</v>
      </c>
    </row>
    <row r="20" spans="1:4" x14ac:dyDescent="0.25">
      <c r="A20" s="3" t="s">
        <v>2818</v>
      </c>
      <c r="B20">
        <v>1199</v>
      </c>
      <c r="C20">
        <v>2.9990325271059244</v>
      </c>
      <c r="D20">
        <v>5936499</v>
      </c>
    </row>
  </sheetData>
  <conditionalFormatting pivot="1" sqref="C4:C20">
    <cfRule type="cellIs" dxfId="3" priority="1" operator="equal">
      <formula>"max(c:c)"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1CB5-56F9-43EE-A1C6-B44607A52C59}">
  <sheetPr filterMode="1"/>
  <dimension ref="A1:Y1632"/>
  <sheetViews>
    <sheetView tabSelected="1" topLeftCell="H1" workbookViewId="0">
      <selection activeCell="V8" sqref="V8"/>
    </sheetView>
  </sheetViews>
  <sheetFormatPr defaultRowHeight="15" x14ac:dyDescent="0.25"/>
  <cols>
    <col min="18" max="18" width="15.28515625" bestFit="1" customWidth="1"/>
    <col min="19" max="19" width="15.28515625" customWidth="1"/>
    <col min="20" max="24" width="11.28515625" customWidth="1"/>
  </cols>
  <sheetData>
    <row r="1" spans="1:25" x14ac:dyDescent="0.25">
      <c r="A1" t="s">
        <v>0</v>
      </c>
      <c r="B1" t="s">
        <v>2821</v>
      </c>
      <c r="C1" t="s">
        <v>2822</v>
      </c>
      <c r="D1" t="s">
        <v>2823</v>
      </c>
      <c r="E1" t="s">
        <v>2824</v>
      </c>
      <c r="F1" t="s">
        <v>2825</v>
      </c>
      <c r="G1" t="s">
        <v>2826</v>
      </c>
      <c r="H1" t="s">
        <v>2827</v>
      </c>
      <c r="I1" t="s">
        <v>2828</v>
      </c>
      <c r="J1" t="s">
        <v>2829</v>
      </c>
      <c r="K1" t="s">
        <v>2837</v>
      </c>
      <c r="L1" t="s">
        <v>2838</v>
      </c>
      <c r="M1" t="s">
        <v>2815</v>
      </c>
      <c r="N1" t="s">
        <v>2808</v>
      </c>
      <c r="O1" t="s">
        <v>2809</v>
      </c>
      <c r="P1" t="s">
        <v>2810</v>
      </c>
      <c r="Q1" t="s">
        <v>2811</v>
      </c>
      <c r="R1" t="s">
        <v>2812</v>
      </c>
      <c r="S1" t="s">
        <v>2839</v>
      </c>
      <c r="T1" t="s">
        <v>2813</v>
      </c>
      <c r="U1" t="s">
        <v>2814</v>
      </c>
      <c r="V1" t="s">
        <v>2816</v>
      </c>
      <c r="W1" t="s">
        <v>2830</v>
      </c>
      <c r="X1" t="s">
        <v>2833</v>
      </c>
      <c r="Y1" t="s">
        <v>2836</v>
      </c>
    </row>
    <row r="2" spans="1:25" x14ac:dyDescent="0.25">
      <c r="A2" t="s">
        <v>1</v>
      </c>
      <c r="B2" t="s">
        <v>2820</v>
      </c>
      <c r="C2" t="s">
        <v>2</v>
      </c>
      <c r="D2" t="s">
        <v>3</v>
      </c>
      <c r="E2" t="s">
        <v>4</v>
      </c>
      <c r="F2" t="s">
        <v>5</v>
      </c>
      <c r="G2">
        <v>14714</v>
      </c>
      <c r="H2">
        <v>1099</v>
      </c>
      <c r="I2">
        <v>2.39</v>
      </c>
      <c r="J2">
        <v>89</v>
      </c>
      <c r="K2">
        <f ca="1">IF(F2="Enrolled", TODAY()-E2, "")</f>
        <v>954</v>
      </c>
      <c r="L2" t="s">
        <v>6</v>
      </c>
      <c r="M2">
        <f ca="1">IF(F2="Enrolled",TODAY() - E2,"")</f>
        <v>954</v>
      </c>
      <c r="N2" t="str">
        <f>IF(I4&gt;=3.5,"Excellent",IF(I4&gt;=3,"Good",IF(I4&gt;=2,"Average","Poor")))</f>
        <v>Good</v>
      </c>
      <c r="O2" t="e">
        <f>VLOOKUP(D2, $T$18:$U$23, 2, FALSE)</f>
        <v>#N/A</v>
      </c>
      <c r="P2" t="str">
        <f>IF(H2 &gt; 0.5 * G2, "YES", "NO")</f>
        <v>NO</v>
      </c>
      <c r="Q2">
        <f>SUMIFS(G2:G1200, F2:F1200, "Completed", D2:D1200, "Science")</f>
        <v>813573</v>
      </c>
      <c r="R2" t="str">
        <f>IF(MONTH(E2)&gt;=6, YEAR(E2) &amp; "-" &amp; YEAR(E2)+1, YEAR(E2)-1 &amp; "-" &amp; YEAR(E2))</f>
        <v>2022-2023</v>
      </c>
      <c r="S2" t="s">
        <v>2840</v>
      </c>
      <c r="T2" t="e">
        <f>COUNTIFS(F2:F1200, "Completed", J2:J100, "&gt;100")</f>
        <v>#VALUE!</v>
      </c>
      <c r="U2" t="str">
        <f>INDEX(B2:B1200, MATCH(LARGE(I2:I1200, 2), I2:I1200, 0))</f>
        <v>Student_516</v>
      </c>
      <c r="V2" t="s">
        <v>2834</v>
      </c>
      <c r="W2" t="s">
        <v>2835</v>
      </c>
    </row>
    <row r="3" spans="1:25" hidden="1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>
        <v>5718</v>
      </c>
      <c r="H3">
        <v>4700</v>
      </c>
      <c r="I3">
        <v>3.49</v>
      </c>
      <c r="J3">
        <v>79</v>
      </c>
      <c r="Q3">
        <f>SUMIFS(G3:G1201, F3:F1201, "Completed", D3:D1201, "Science")</f>
        <v>813573</v>
      </c>
    </row>
    <row r="4" spans="1:25" x14ac:dyDescent="0.25">
      <c r="A4" t="s">
        <v>12</v>
      </c>
      <c r="B4" t="s">
        <v>13</v>
      </c>
      <c r="C4" t="s">
        <v>14</v>
      </c>
      <c r="D4" t="s">
        <v>3</v>
      </c>
      <c r="E4" s="1">
        <v>45239</v>
      </c>
      <c r="F4" t="s">
        <v>5</v>
      </c>
      <c r="G4">
        <v>5726</v>
      </c>
      <c r="H4">
        <v>3408</v>
      </c>
      <c r="I4">
        <v>3.08</v>
      </c>
      <c r="J4">
        <v>84</v>
      </c>
      <c r="K4">
        <f ca="1">IF(F4="Enrolled", TODAY()-E4, "")</f>
        <v>728</v>
      </c>
      <c r="L4" t="s">
        <v>23</v>
      </c>
      <c r="M4">
        <f ca="1">IF(F4="Enrolled",TODAY() - E4,"")</f>
        <v>728</v>
      </c>
      <c r="N4" t="str">
        <f>IF(I6&gt;=3.5,"Excellent",IF(I6&gt;=3,"Good",IF(I6&gt;=2,"Average","Poor")))</f>
        <v>Good</v>
      </c>
      <c r="O4" t="e">
        <f>VLOOKUP(D4, $T$18:$U$23, 2, FALSE)</f>
        <v>#N/A</v>
      </c>
      <c r="P4" t="str">
        <f>IF(H4 &gt; 0.5 * G4, "YES", "NO")</f>
        <v>YES</v>
      </c>
      <c r="Q4">
        <f>SUMIFS(G4:G1202, F4:F1202, "Completed", D4:D1202, "Science")</f>
        <v>807855</v>
      </c>
      <c r="R4" t="str">
        <f>IF(MONTH(E4)&gt;=6, YEAR(E4) &amp; "-" &amp; YEAR(E4)+1, YEAR(E4)-1 &amp; "-" &amp; YEAR(E4))</f>
        <v>2023-2024</v>
      </c>
      <c r="Y4">
        <f>INDEX(I4:I1203, MATCH(L4, A4:A1203, 0))</f>
        <v>3.39</v>
      </c>
    </row>
    <row r="5" spans="1:25" hidden="1" x14ac:dyDescent="0.25">
      <c r="A5" t="s">
        <v>15</v>
      </c>
      <c r="B5" t="s">
        <v>16</v>
      </c>
      <c r="C5" t="s">
        <v>17</v>
      </c>
      <c r="D5" t="s">
        <v>9</v>
      </c>
      <c r="E5" t="s">
        <v>18</v>
      </c>
      <c r="F5" t="s">
        <v>11</v>
      </c>
      <c r="G5">
        <v>10846</v>
      </c>
      <c r="H5">
        <v>3245</v>
      </c>
      <c r="I5">
        <v>3.59</v>
      </c>
      <c r="J5">
        <v>9</v>
      </c>
      <c r="Q5">
        <f>SUMIFS(G5:G1203, F5:F1203, "Completed", D5:D1203, "Science")</f>
        <v>807855</v>
      </c>
    </row>
    <row r="6" spans="1:25" x14ac:dyDescent="0.25">
      <c r="A6" t="s">
        <v>19</v>
      </c>
      <c r="B6" t="s">
        <v>20</v>
      </c>
      <c r="C6" t="s">
        <v>21</v>
      </c>
      <c r="D6" t="s">
        <v>9</v>
      </c>
      <c r="E6" t="s">
        <v>22</v>
      </c>
      <c r="F6" t="s">
        <v>5</v>
      </c>
      <c r="G6">
        <v>11437</v>
      </c>
      <c r="H6">
        <v>4259</v>
      </c>
      <c r="I6">
        <v>3.31</v>
      </c>
      <c r="J6">
        <v>72</v>
      </c>
      <c r="K6">
        <f ca="1">IF(F6="Enrolled", TODAY()-E6, "")</f>
        <v>567</v>
      </c>
      <c r="M6">
        <f ca="1">IF(F6="Enrolled",TODAY() - E6,"")</f>
        <v>567</v>
      </c>
      <c r="N6" t="str">
        <f>IF(I8&gt;=3.5,"Excellent",IF(I8&gt;=3,"Good",IF(I8&gt;=2,"Average","Poor")))</f>
        <v>Average</v>
      </c>
      <c r="O6" t="e">
        <f>VLOOKUP(D6, $T$18:$U$23, 2, FALSE)</f>
        <v>#N/A</v>
      </c>
      <c r="P6" t="str">
        <f>IF(H6 &gt; 0.5 * G6, "YES", "NO")</f>
        <v>NO</v>
      </c>
      <c r="Q6">
        <f>SUMIFS(G6:G1204, F6:F1204, "Completed", D6:D1204, "Science")</f>
        <v>797009</v>
      </c>
      <c r="R6" t="str">
        <f>IF(MONTH(E6)&gt;=6, YEAR(E6) &amp; "-" &amp; YEAR(E6)+1, YEAR(E6)-1 &amp; "-" &amp; YEAR(E6))</f>
        <v>2023-2024</v>
      </c>
    </row>
    <row r="7" spans="1:25" hidden="1" x14ac:dyDescent="0.25">
      <c r="A7" t="s">
        <v>23</v>
      </c>
      <c r="B7" t="s">
        <v>24</v>
      </c>
      <c r="C7" t="s">
        <v>8</v>
      </c>
      <c r="D7" t="s">
        <v>25</v>
      </c>
      <c r="E7" t="s">
        <v>26</v>
      </c>
      <c r="F7" t="s">
        <v>11</v>
      </c>
      <c r="G7">
        <v>13342</v>
      </c>
      <c r="H7">
        <v>2831</v>
      </c>
      <c r="I7">
        <v>3.39</v>
      </c>
      <c r="J7">
        <v>107</v>
      </c>
      <c r="Q7">
        <f>SUMIFS(G7:G1205, F7:F1205, "Completed", D7:D1205, "Science")</f>
        <v>797009</v>
      </c>
    </row>
    <row r="8" spans="1:25" x14ac:dyDescent="0.25">
      <c r="A8" t="s">
        <v>27</v>
      </c>
      <c r="B8" t="s">
        <v>28</v>
      </c>
      <c r="C8" t="s">
        <v>17</v>
      </c>
      <c r="D8" t="s">
        <v>3</v>
      </c>
      <c r="E8" t="s">
        <v>29</v>
      </c>
      <c r="F8" t="s">
        <v>5</v>
      </c>
      <c r="G8">
        <v>3831</v>
      </c>
      <c r="H8">
        <v>3078</v>
      </c>
      <c r="I8">
        <v>2.4500000000000002</v>
      </c>
      <c r="J8">
        <v>70</v>
      </c>
      <c r="K8">
        <f t="shared" ref="K8:K9" ca="1" si="0">IF(F8="Enrolled", TODAY()-E8, "")</f>
        <v>991</v>
      </c>
      <c r="M8">
        <f ca="1">IF(F8="Enrolled",TODAY() - E8,"")</f>
        <v>991</v>
      </c>
      <c r="N8" t="str">
        <f t="shared" ref="N8:N9" si="1">IF(I10&gt;=3.5,"Excellent",IF(I10&gt;=3,"Good",IF(I10&gt;=2,"Average","Poor")))</f>
        <v>Good</v>
      </c>
      <c r="O8" t="e">
        <f t="shared" ref="O8:O9" si="2">VLOOKUP(D8, $T$18:$U$23, 2, FALSE)</f>
        <v>#N/A</v>
      </c>
      <c r="P8" t="str">
        <f t="shared" ref="P8:P9" si="3">IF(H8 &gt; 0.5 * G8, "YES", "NO")</f>
        <v>YES</v>
      </c>
      <c r="Q8">
        <f>SUMIFS(G8:G1206, F8:F1206, "Completed", D8:D1206, "Science")</f>
        <v>797009</v>
      </c>
      <c r="R8" t="str">
        <f>IF(MONTH(E8)&gt;=6, YEAR(E8) &amp; "-" &amp; YEAR(E8)+1, YEAR(E8)-1 &amp; "-" &amp; YEAR(E8))</f>
        <v>2022-2023</v>
      </c>
      <c r="T8" t="s">
        <v>2823</v>
      </c>
      <c r="U8" t="s">
        <v>2841</v>
      </c>
    </row>
    <row r="9" spans="1:25" x14ac:dyDescent="0.25">
      <c r="A9" t="s">
        <v>30</v>
      </c>
      <c r="B9" t="s">
        <v>31</v>
      </c>
      <c r="C9" t="s">
        <v>32</v>
      </c>
      <c r="D9" t="s">
        <v>3</v>
      </c>
      <c r="E9" s="1">
        <v>44598</v>
      </c>
      <c r="F9" t="s">
        <v>5</v>
      </c>
      <c r="G9">
        <v>8155</v>
      </c>
      <c r="H9">
        <v>6039</v>
      </c>
      <c r="I9">
        <v>3.41</v>
      </c>
      <c r="J9">
        <v>118</v>
      </c>
      <c r="K9">
        <f t="shared" ca="1" si="0"/>
        <v>1369</v>
      </c>
      <c r="M9">
        <f ca="1">IF(F9="Enrolled",TODAY() - E9,"")</f>
        <v>1369</v>
      </c>
      <c r="N9" t="str">
        <f t="shared" si="1"/>
        <v>Average</v>
      </c>
      <c r="O9" t="e">
        <f t="shared" si="2"/>
        <v>#N/A</v>
      </c>
      <c r="P9" t="str">
        <f t="shared" si="3"/>
        <v>YES</v>
      </c>
      <c r="Q9">
        <f>SUMIFS(G9:G1207, F9:F1207, "Completed", D9:D1207, "Science")</f>
        <v>797009</v>
      </c>
      <c r="R9" t="str">
        <f>IF(MONTH(E3)&gt;=6, YEAR(E3) &amp; "-" &amp; YEAR(E3)+1, YEAR(E3)-1 &amp; "-" &amp; YEAR(E3))</f>
        <v>2022-2023</v>
      </c>
      <c r="T9" t="s">
        <v>2842</v>
      </c>
      <c r="U9" t="s">
        <v>2843</v>
      </c>
    </row>
    <row r="10" spans="1:25" hidden="1" x14ac:dyDescent="0.25">
      <c r="A10" t="s">
        <v>33</v>
      </c>
      <c r="B10" t="s">
        <v>34</v>
      </c>
      <c r="C10" t="s">
        <v>21</v>
      </c>
      <c r="D10" t="s">
        <v>25</v>
      </c>
      <c r="E10" t="s">
        <v>35</v>
      </c>
      <c r="F10" t="s">
        <v>36</v>
      </c>
      <c r="G10">
        <v>4061</v>
      </c>
      <c r="H10">
        <v>2208</v>
      </c>
      <c r="I10">
        <v>3.2</v>
      </c>
      <c r="J10">
        <v>100</v>
      </c>
      <c r="Q10">
        <f>SUMIFS(G10:G1208, F10:F1208, "Completed", D10:D1208, "Science")</f>
        <v>797009</v>
      </c>
    </row>
    <row r="11" spans="1:25" hidden="1" x14ac:dyDescent="0.25">
      <c r="A11" t="s">
        <v>37</v>
      </c>
      <c r="B11" t="s">
        <v>38</v>
      </c>
      <c r="C11" t="s">
        <v>8</v>
      </c>
      <c r="D11" t="s">
        <v>3</v>
      </c>
      <c r="E11" t="s">
        <v>39</v>
      </c>
      <c r="F11" t="s">
        <v>11</v>
      </c>
      <c r="G11">
        <v>5718</v>
      </c>
      <c r="H11">
        <v>2737</v>
      </c>
      <c r="I11">
        <v>2.02</v>
      </c>
      <c r="J11">
        <v>38</v>
      </c>
      <c r="Q11">
        <f>SUMIFS(G11:G1209, F11:F1209, "Completed", D11:D1209, "Science")</f>
        <v>797009</v>
      </c>
    </row>
    <row r="12" spans="1:25" x14ac:dyDescent="0.25">
      <c r="A12" t="s">
        <v>40</v>
      </c>
      <c r="B12" t="s">
        <v>41</v>
      </c>
      <c r="C12" t="s">
        <v>14</v>
      </c>
      <c r="D12" t="s">
        <v>25</v>
      </c>
      <c r="E12" t="s">
        <v>42</v>
      </c>
      <c r="F12" t="s">
        <v>5</v>
      </c>
      <c r="G12">
        <v>9724</v>
      </c>
      <c r="H12">
        <v>2303</v>
      </c>
      <c r="I12">
        <v>2.61</v>
      </c>
      <c r="J12">
        <v>52</v>
      </c>
      <c r="K12">
        <f t="shared" ref="K12:K13" ca="1" si="4">IF(F12="Enrolled", TODAY()-E12, "")</f>
        <v>958</v>
      </c>
      <c r="M12">
        <f t="shared" ref="M12:M13" ca="1" si="5">IF(F12="Enrolled",TODAY() - E12,"")</f>
        <v>958</v>
      </c>
      <c r="N12" t="str">
        <f t="shared" ref="N12:N13" si="6">IF(I14&gt;=3.5,"Excellent",IF(I14&gt;=3,"Good",IF(I14&gt;=2,"Average","Poor")))</f>
        <v>Good</v>
      </c>
      <c r="O12" t="e">
        <f t="shared" ref="O12:O13" si="7">VLOOKUP(D12, $T$18:$U$23, 2, FALSE)</f>
        <v>#N/A</v>
      </c>
      <c r="P12" t="str">
        <f t="shared" ref="P12:P13" si="8">IF(H12 &gt; 0.5 * G12, "YES", "NO")</f>
        <v>NO</v>
      </c>
      <c r="Q12">
        <f>SUMIFS(G12:G1210, F12:F1210, "Completed", D12:D1210, "Science")</f>
        <v>797009</v>
      </c>
      <c r="R12" t="str">
        <f t="shared" ref="R12:R13" si="9">IF(MONTH(E6)&gt;=6, YEAR(E6) &amp; "-" &amp; YEAR(E6)+1, YEAR(E6)-1 &amp; "-" &amp; YEAR(E6))</f>
        <v>2023-2024</v>
      </c>
      <c r="T12" t="s">
        <v>9</v>
      </c>
      <c r="U12" t="s">
        <v>2844</v>
      </c>
    </row>
    <row r="13" spans="1:25" x14ac:dyDescent="0.25">
      <c r="A13" t="s">
        <v>43</v>
      </c>
      <c r="B13" t="s">
        <v>44</v>
      </c>
      <c r="C13" t="s">
        <v>21</v>
      </c>
      <c r="D13" t="s">
        <v>25</v>
      </c>
      <c r="E13" s="1">
        <v>44654</v>
      </c>
      <c r="F13" t="s">
        <v>5</v>
      </c>
      <c r="G13">
        <v>6176</v>
      </c>
      <c r="H13">
        <v>5301</v>
      </c>
      <c r="I13">
        <v>3.16</v>
      </c>
      <c r="J13">
        <v>37</v>
      </c>
      <c r="K13">
        <f t="shared" ca="1" si="4"/>
        <v>1313</v>
      </c>
      <c r="M13">
        <f t="shared" ca="1" si="5"/>
        <v>1313</v>
      </c>
      <c r="N13" t="str">
        <f t="shared" si="6"/>
        <v>Good</v>
      </c>
      <c r="O13" t="e">
        <f t="shared" si="7"/>
        <v>#N/A</v>
      </c>
      <c r="P13" t="str">
        <f t="shared" si="8"/>
        <v>YES</v>
      </c>
      <c r="Q13">
        <f>SUMIFS(G13:G1211, F13:F1211, "Completed", D13:D1211, "Science")</f>
        <v>797009</v>
      </c>
      <c r="R13" t="str">
        <f t="shared" si="9"/>
        <v>2022-2023</v>
      </c>
      <c r="T13" t="s">
        <v>25</v>
      </c>
      <c r="U13" t="s">
        <v>2845</v>
      </c>
    </row>
    <row r="14" spans="1:25" hidden="1" x14ac:dyDescent="0.25">
      <c r="A14" t="s">
        <v>45</v>
      </c>
      <c r="B14" t="s">
        <v>46</v>
      </c>
      <c r="C14" t="s">
        <v>8</v>
      </c>
      <c r="D14" t="s">
        <v>9</v>
      </c>
      <c r="E14" t="s">
        <v>47</v>
      </c>
      <c r="F14" t="s">
        <v>11</v>
      </c>
      <c r="G14">
        <v>11085</v>
      </c>
      <c r="H14">
        <v>1939</v>
      </c>
      <c r="I14">
        <v>3.02</v>
      </c>
      <c r="J14">
        <v>107</v>
      </c>
      <c r="Q14">
        <f>SUMIFS(G14:G1212, F14:F1212, "Completed", D14:D1212, "Science")</f>
        <v>797009</v>
      </c>
    </row>
    <row r="15" spans="1:25" hidden="1" x14ac:dyDescent="0.25">
      <c r="A15" t="s">
        <v>48</v>
      </c>
      <c r="B15" t="s">
        <v>49</v>
      </c>
      <c r="C15" t="s">
        <v>32</v>
      </c>
      <c r="D15" t="s">
        <v>9</v>
      </c>
      <c r="E15" s="1">
        <v>44603</v>
      </c>
      <c r="F15" t="s">
        <v>11</v>
      </c>
      <c r="G15">
        <v>8006</v>
      </c>
      <c r="H15">
        <v>7602</v>
      </c>
      <c r="I15">
        <v>3.38</v>
      </c>
      <c r="J15">
        <v>84</v>
      </c>
      <c r="Q15">
        <f>SUMIFS(G15:G1213, F15:F1213, "Completed", D15:D1213, "Science")</f>
        <v>785924</v>
      </c>
    </row>
    <row r="16" spans="1:25" x14ac:dyDescent="0.25">
      <c r="A16" t="s">
        <v>50</v>
      </c>
      <c r="B16" t="s">
        <v>51</v>
      </c>
      <c r="C16" t="s">
        <v>32</v>
      </c>
      <c r="D16" t="s">
        <v>9</v>
      </c>
      <c r="E16" t="s">
        <v>52</v>
      </c>
      <c r="F16" t="s">
        <v>5</v>
      </c>
      <c r="G16">
        <v>14699</v>
      </c>
      <c r="H16">
        <v>4188</v>
      </c>
      <c r="I16">
        <v>3.4</v>
      </c>
      <c r="J16">
        <v>25</v>
      </c>
      <c r="K16">
        <f ca="1">IF(F16="Enrolled", TODAY()-E16, "")</f>
        <v>771</v>
      </c>
      <c r="M16">
        <f ca="1">IF(F16="Enrolled",TODAY() - E16,"")</f>
        <v>771</v>
      </c>
      <c r="N16" t="str">
        <f>IF(I18&gt;=3.5,"Excellent",IF(I18&gt;=3,"Good",IF(I18&gt;=2,"Average","Poor")))</f>
        <v>Average</v>
      </c>
      <c r="O16" t="e">
        <f>VLOOKUP(D16, $T$18:$U$23, 2, FALSE)</f>
        <v>#N/A</v>
      </c>
      <c r="P16" t="str">
        <f>IF(H16 &gt; 0.5 * G16, "YES", "NO")</f>
        <v>NO</v>
      </c>
      <c r="Q16">
        <f>SUMIFS(G16:G1214, F16:F1214, "Completed", D16:D1214, "Science")</f>
        <v>777918</v>
      </c>
      <c r="R16" t="str">
        <f>IF(MONTH(E10)&gt;=6, YEAR(E10) &amp; "-" &amp; YEAR(E10)+1, YEAR(E10)-1 &amp; "-" &amp; YEAR(E10))</f>
        <v>2022-2023</v>
      </c>
      <c r="T16" t="s">
        <v>65</v>
      </c>
      <c r="U16" t="s">
        <v>2846</v>
      </c>
    </row>
    <row r="17" spans="1:18" hidden="1" x14ac:dyDescent="0.25">
      <c r="A17" t="s">
        <v>53</v>
      </c>
      <c r="B17" t="s">
        <v>54</v>
      </c>
      <c r="C17" t="s">
        <v>55</v>
      </c>
      <c r="D17" t="s">
        <v>25</v>
      </c>
      <c r="E17" s="1">
        <v>44656</v>
      </c>
      <c r="F17" t="s">
        <v>11</v>
      </c>
      <c r="G17">
        <v>10985</v>
      </c>
      <c r="H17">
        <v>1391</v>
      </c>
      <c r="I17">
        <v>3.47</v>
      </c>
      <c r="J17">
        <v>18</v>
      </c>
      <c r="Q17">
        <f>SUMIFS(G17:G1215, F17:F1215, "Completed", D17:D1215, "Science")</f>
        <v>777918</v>
      </c>
    </row>
    <row r="18" spans="1:18" x14ac:dyDescent="0.25">
      <c r="A18" t="s">
        <v>56</v>
      </c>
      <c r="B18" t="s">
        <v>57</v>
      </c>
      <c r="C18" t="s">
        <v>58</v>
      </c>
      <c r="D18" t="s">
        <v>3</v>
      </c>
      <c r="E18" t="s">
        <v>59</v>
      </c>
      <c r="F18" t="s">
        <v>5</v>
      </c>
      <c r="G18">
        <v>6946</v>
      </c>
      <c r="H18">
        <v>8514</v>
      </c>
      <c r="I18">
        <v>2.08</v>
      </c>
      <c r="J18">
        <v>73</v>
      </c>
      <c r="K18">
        <f t="shared" ref="K18:K23" ca="1" si="10">IF(F18="Enrolled", TODAY()-E18, "")</f>
        <v>838</v>
      </c>
      <c r="M18">
        <f t="shared" ref="M18:M20" ca="1" si="11">IF(F18="Enrolled",TODAY() - E18,"")</f>
        <v>838</v>
      </c>
      <c r="N18" t="str">
        <f t="shared" ref="N18:N20" si="12">IF(I20&gt;=3.5,"Excellent",IF(I20&gt;=3,"Good",IF(I20&gt;=2,"Average","Poor")))</f>
        <v>Excellent</v>
      </c>
      <c r="O18" t="e">
        <f t="shared" ref="O18:O20" si="13">VLOOKUP(D18, $T$18:$U$23, 2, FALSE)</f>
        <v>#N/A</v>
      </c>
      <c r="P18" t="str">
        <f t="shared" ref="P18:P20" si="14">IF(H18 &gt; 0.5 * G18, "YES", "NO")</f>
        <v>YES</v>
      </c>
      <c r="Q18">
        <f>SUMIFS(G18:G1216, F18:F1216, "Completed", D18:D1216, "Science")</f>
        <v>777918</v>
      </c>
      <c r="R18" t="str">
        <f t="shared" ref="R18:R20" si="15">IF(MONTH(E12)&gt;=6, YEAR(E12) &amp; "-" &amp; YEAR(E12)+1, YEAR(E12)-1 &amp; "-" &amp; YEAR(E12))</f>
        <v>2022-2023</v>
      </c>
    </row>
    <row r="19" spans="1:18" x14ac:dyDescent="0.25">
      <c r="A19" t="s">
        <v>60</v>
      </c>
      <c r="B19" t="s">
        <v>61</v>
      </c>
      <c r="C19" t="s">
        <v>14</v>
      </c>
      <c r="D19" t="s">
        <v>9</v>
      </c>
      <c r="E19" t="s">
        <v>62</v>
      </c>
      <c r="F19" t="s">
        <v>5</v>
      </c>
      <c r="G19">
        <v>5088</v>
      </c>
      <c r="H19">
        <v>1973</v>
      </c>
      <c r="I19">
        <v>3.56</v>
      </c>
      <c r="J19">
        <v>52</v>
      </c>
      <c r="K19">
        <f t="shared" ca="1" si="10"/>
        <v>745</v>
      </c>
      <c r="M19">
        <f t="shared" ca="1" si="11"/>
        <v>745</v>
      </c>
      <c r="N19" t="str">
        <f t="shared" si="12"/>
        <v>Average</v>
      </c>
      <c r="O19" t="e">
        <f t="shared" si="13"/>
        <v>#N/A</v>
      </c>
      <c r="P19" t="str">
        <f t="shared" si="14"/>
        <v>NO</v>
      </c>
      <c r="Q19">
        <f>SUMIFS(G19:G1217, F19:F1217, "Completed", D19:D1217, "Science")</f>
        <v>777918</v>
      </c>
      <c r="R19" t="str">
        <f t="shared" si="15"/>
        <v>2021-2022</v>
      </c>
    </row>
    <row r="20" spans="1:18" x14ac:dyDescent="0.25">
      <c r="A20" t="s">
        <v>63</v>
      </c>
      <c r="B20" t="s">
        <v>64</v>
      </c>
      <c r="C20" t="s">
        <v>21</v>
      </c>
      <c r="D20" t="s">
        <v>65</v>
      </c>
      <c r="E20" s="1">
        <v>45018</v>
      </c>
      <c r="F20" t="s">
        <v>5</v>
      </c>
      <c r="G20">
        <v>3188</v>
      </c>
      <c r="H20">
        <v>9735</v>
      </c>
      <c r="I20">
        <v>3.54</v>
      </c>
      <c r="J20">
        <v>67</v>
      </c>
      <c r="K20">
        <f t="shared" ca="1" si="10"/>
        <v>949</v>
      </c>
      <c r="M20">
        <f t="shared" ca="1" si="11"/>
        <v>949</v>
      </c>
      <c r="N20" t="str">
        <f t="shared" si="12"/>
        <v>Average</v>
      </c>
      <c r="O20" t="e">
        <f t="shared" si="13"/>
        <v>#N/A</v>
      </c>
      <c r="P20" t="str">
        <f t="shared" si="14"/>
        <v>YES</v>
      </c>
      <c r="Q20">
        <f>SUMIFS(G20:G1218, F20:F1218, "Completed", D20:D1218, "Science")</f>
        <v>777918</v>
      </c>
      <c r="R20" t="str">
        <f t="shared" si="15"/>
        <v>2023-2024</v>
      </c>
    </row>
    <row r="21" spans="1:18" hidden="1" x14ac:dyDescent="0.25">
      <c r="A21" t="s">
        <v>66</v>
      </c>
      <c r="B21" t="s">
        <v>67</v>
      </c>
      <c r="C21" t="s">
        <v>55</v>
      </c>
      <c r="D21" t="s">
        <v>25</v>
      </c>
      <c r="E21" t="s">
        <v>68</v>
      </c>
      <c r="F21" t="s">
        <v>11</v>
      </c>
      <c r="G21">
        <v>6258</v>
      </c>
      <c r="H21">
        <v>9965</v>
      </c>
      <c r="I21">
        <v>2.48</v>
      </c>
      <c r="J21">
        <v>100</v>
      </c>
      <c r="Q21">
        <f>SUMIFS(G21:G1219, F21:F1219, "Completed", D21:D1219, "Science")</f>
        <v>777918</v>
      </c>
    </row>
    <row r="22" spans="1:18" x14ac:dyDescent="0.25">
      <c r="A22" t="s">
        <v>69</v>
      </c>
      <c r="B22" t="s">
        <v>70</v>
      </c>
      <c r="C22" t="s">
        <v>17</v>
      </c>
      <c r="D22" t="s">
        <v>9</v>
      </c>
      <c r="E22" t="s">
        <v>71</v>
      </c>
      <c r="F22" t="s">
        <v>5</v>
      </c>
      <c r="G22">
        <v>12607</v>
      </c>
      <c r="H22">
        <v>4963</v>
      </c>
      <c r="I22">
        <v>2.86</v>
      </c>
      <c r="J22">
        <v>25</v>
      </c>
      <c r="K22">
        <f t="shared" ca="1" si="10"/>
        <v>801</v>
      </c>
      <c r="M22">
        <f t="shared" ref="M22:M23" ca="1" si="16">IF(F22="Enrolled",TODAY() - E22,"")</f>
        <v>801</v>
      </c>
      <c r="N22" t="str">
        <f t="shared" ref="N22:N23" si="17">IF(I24&gt;=3.5,"Excellent",IF(I24&gt;=3,"Good",IF(I24&gt;=2,"Average","Poor")))</f>
        <v>Average</v>
      </c>
      <c r="O22" t="e">
        <f t="shared" ref="O22:O23" si="18">VLOOKUP(D22, $T$18:$U$23, 2, FALSE)</f>
        <v>#N/A</v>
      </c>
      <c r="P22" t="str">
        <f t="shared" ref="P22:P23" si="19">IF(H22 &gt; 0.5 * G22, "YES", "NO")</f>
        <v>NO</v>
      </c>
      <c r="Q22">
        <f>SUMIFS(G22:G1220, F22:F1220, "Completed", D22:D1220, "Science")</f>
        <v>777918</v>
      </c>
      <c r="R22" t="str">
        <f t="shared" ref="R22:R23" si="20">IF(MONTH(E16)&gt;=6, YEAR(E16) &amp; "-" &amp; YEAR(E16)+1, YEAR(E16)-1 &amp; "-" &amp; YEAR(E16))</f>
        <v>2023-2024</v>
      </c>
    </row>
    <row r="23" spans="1:18" x14ac:dyDescent="0.25">
      <c r="A23" t="s">
        <v>72</v>
      </c>
      <c r="B23" t="s">
        <v>73</v>
      </c>
      <c r="C23" t="s">
        <v>17</v>
      </c>
      <c r="D23" t="s">
        <v>25</v>
      </c>
      <c r="E23" t="s">
        <v>74</v>
      </c>
      <c r="F23" t="s">
        <v>5</v>
      </c>
      <c r="G23">
        <v>9303</v>
      </c>
      <c r="H23">
        <v>9181</v>
      </c>
      <c r="I23">
        <v>2.12</v>
      </c>
      <c r="J23">
        <v>119</v>
      </c>
      <c r="K23">
        <f t="shared" ca="1" si="10"/>
        <v>963</v>
      </c>
      <c r="M23">
        <f t="shared" ca="1" si="16"/>
        <v>963</v>
      </c>
      <c r="N23" t="str">
        <f t="shared" si="17"/>
        <v>Average</v>
      </c>
      <c r="O23" t="e">
        <f t="shared" si="18"/>
        <v>#N/A</v>
      </c>
      <c r="P23" t="str">
        <f t="shared" si="19"/>
        <v>YES</v>
      </c>
      <c r="Q23">
        <f>SUMIFS(G23:G1221, F23:F1221, "Completed", D23:D1221, "Science")</f>
        <v>777918</v>
      </c>
      <c r="R23" t="str">
        <f t="shared" si="20"/>
        <v>2021-2022</v>
      </c>
    </row>
    <row r="24" spans="1:18" hidden="1" x14ac:dyDescent="0.25">
      <c r="A24" t="s">
        <v>75</v>
      </c>
      <c r="B24" t="s">
        <v>76</v>
      </c>
      <c r="C24" t="s">
        <v>32</v>
      </c>
      <c r="D24" t="s">
        <v>3</v>
      </c>
      <c r="E24" s="1">
        <v>45078</v>
      </c>
      <c r="F24" t="s">
        <v>11</v>
      </c>
      <c r="G24">
        <v>2797</v>
      </c>
      <c r="H24">
        <v>6036</v>
      </c>
      <c r="I24">
        <v>2.36</v>
      </c>
      <c r="J24">
        <v>14</v>
      </c>
      <c r="Q24">
        <f>SUMIFS(G24:G1222, F24:F1222, "Completed", D24:D1222, "Science")</f>
        <v>777918</v>
      </c>
    </row>
    <row r="25" spans="1:18" hidden="1" x14ac:dyDescent="0.25">
      <c r="A25" t="s">
        <v>77</v>
      </c>
      <c r="B25" t="s">
        <v>78</v>
      </c>
      <c r="C25" t="s">
        <v>2</v>
      </c>
      <c r="D25" t="s">
        <v>25</v>
      </c>
      <c r="E25" s="1">
        <v>45083</v>
      </c>
      <c r="F25" t="s">
        <v>11</v>
      </c>
      <c r="G25">
        <v>6057</v>
      </c>
      <c r="H25">
        <v>7133</v>
      </c>
      <c r="I25">
        <v>2.57</v>
      </c>
      <c r="J25">
        <v>93</v>
      </c>
      <c r="Q25">
        <f>SUMIFS(G25:G1223, F25:F1223, "Completed", D25:D1223, "Science")</f>
        <v>777918</v>
      </c>
    </row>
    <row r="26" spans="1:18" hidden="1" x14ac:dyDescent="0.25">
      <c r="A26" t="s">
        <v>79</v>
      </c>
      <c r="B26" t="s">
        <v>80</v>
      </c>
      <c r="C26" t="s">
        <v>58</v>
      </c>
      <c r="D26" t="s">
        <v>25</v>
      </c>
      <c r="E26" s="1">
        <v>44621</v>
      </c>
      <c r="F26" t="s">
        <v>11</v>
      </c>
      <c r="G26">
        <v>8791</v>
      </c>
      <c r="H26">
        <v>7232</v>
      </c>
      <c r="I26">
        <v>3.2</v>
      </c>
      <c r="J26">
        <v>14</v>
      </c>
      <c r="Q26">
        <f>SUMIFS(G26:G1224, F26:F1224, "Completed", D26:D1224, "Science")</f>
        <v>777918</v>
      </c>
    </row>
    <row r="27" spans="1:18" x14ac:dyDescent="0.25">
      <c r="A27" t="s">
        <v>81</v>
      </c>
      <c r="B27" t="s">
        <v>82</v>
      </c>
      <c r="C27" t="s">
        <v>14</v>
      </c>
      <c r="D27" t="s">
        <v>65</v>
      </c>
      <c r="E27" s="1">
        <v>45388</v>
      </c>
      <c r="F27" t="s">
        <v>5</v>
      </c>
      <c r="G27">
        <v>6655</v>
      </c>
      <c r="H27">
        <v>6637</v>
      </c>
      <c r="I27">
        <v>3.15</v>
      </c>
      <c r="J27">
        <v>43</v>
      </c>
      <c r="K27">
        <f t="shared" ref="K27" ca="1" si="21">IF(F27="Enrolled", TODAY()-E27, "")</f>
        <v>579</v>
      </c>
      <c r="M27">
        <f ca="1">IF(F27="Enrolled",TODAY() - E27,"")</f>
        <v>579</v>
      </c>
      <c r="N27" t="str">
        <f>IF(I29&gt;=3.5,"Excellent",IF(I29&gt;=3,"Good",IF(I29&gt;=2,"Average","Poor")))</f>
        <v>Good</v>
      </c>
      <c r="O27" t="e">
        <f>VLOOKUP(D27, $T$18:$U$23, 2, FALSE)</f>
        <v>#N/A</v>
      </c>
      <c r="P27" t="str">
        <f>IF(H27 &gt; 0.5 * G27, "YES", "NO")</f>
        <v>YES</v>
      </c>
      <c r="Q27">
        <f t="shared" ref="Q27:Q68" si="22">SUMIFS(G27:G1225, F27:F1225, "Completed", D27:D1225, "Science")</f>
        <v>777918</v>
      </c>
      <c r="R27" t="str">
        <f>IF(MONTH(E21)&gt;=6, YEAR(E21) &amp; "-" &amp; YEAR(E21)+1, YEAR(E21)-1 &amp; "-" &amp; YEAR(E21))</f>
        <v>2022-2023</v>
      </c>
    </row>
    <row r="28" spans="1:18" hidden="1" x14ac:dyDescent="0.25">
      <c r="A28" t="s">
        <v>83</v>
      </c>
      <c r="B28" t="s">
        <v>84</v>
      </c>
      <c r="C28" t="s">
        <v>2</v>
      </c>
      <c r="D28" t="s">
        <v>25</v>
      </c>
      <c r="E28" t="s">
        <v>85</v>
      </c>
      <c r="F28" t="s">
        <v>11</v>
      </c>
      <c r="G28">
        <v>5008</v>
      </c>
      <c r="H28">
        <v>907</v>
      </c>
      <c r="I28">
        <v>3.83</v>
      </c>
      <c r="J28">
        <v>96</v>
      </c>
      <c r="Q28">
        <f>SUMIFS(G28:G1226, F28:F1226, "Completed", D28:D1226, "Science")</f>
        <v>777918</v>
      </c>
    </row>
    <row r="29" spans="1:18" x14ac:dyDescent="0.25">
      <c r="A29" t="s">
        <v>86</v>
      </c>
      <c r="B29" t="s">
        <v>87</v>
      </c>
      <c r="C29" t="s">
        <v>32</v>
      </c>
      <c r="D29" t="s">
        <v>9</v>
      </c>
      <c r="E29" t="s">
        <v>26</v>
      </c>
      <c r="F29" t="s">
        <v>5</v>
      </c>
      <c r="G29">
        <v>13997</v>
      </c>
      <c r="H29">
        <v>2778</v>
      </c>
      <c r="I29">
        <v>3.22</v>
      </c>
      <c r="J29">
        <v>87</v>
      </c>
      <c r="K29">
        <f t="shared" ref="K29:K30" ca="1" si="23">IF(F29="Enrolled", TODAY()-E29, "")</f>
        <v>1230</v>
      </c>
      <c r="M29">
        <f t="shared" ref="M29:M30" ca="1" si="24">IF(F29="Enrolled",TODAY() - E29,"")</f>
        <v>1230</v>
      </c>
      <c r="N29" t="str">
        <f t="shared" ref="N29" si="25">IF(I31&gt;=3.5,"Excellent",IF(I31&gt;=3,"Good",IF(I31&gt;=2,"Average","Poor")))</f>
        <v>Good</v>
      </c>
      <c r="O29" t="e">
        <f t="shared" ref="O29:O30" si="26">VLOOKUP(D29, $T$18:$U$23, 2, FALSE)</f>
        <v>#N/A</v>
      </c>
      <c r="P29" t="str">
        <f t="shared" ref="P29:P30" si="27">IF(H29 &gt; 0.5 * G29, "YES", "NO")</f>
        <v>NO</v>
      </c>
      <c r="Q29">
        <f t="shared" si="22"/>
        <v>777918</v>
      </c>
      <c r="R29" t="str">
        <f>IF(MONTH(E23)&gt;=6, YEAR(E23) &amp; "-" &amp; YEAR(E23)+1, YEAR(E23)-1 &amp; "-" &amp; YEAR(E23))</f>
        <v>2022-2023</v>
      </c>
    </row>
    <row r="30" spans="1:18" x14ac:dyDescent="0.25">
      <c r="A30" t="s">
        <v>88</v>
      </c>
      <c r="B30" t="s">
        <v>89</v>
      </c>
      <c r="C30" t="s">
        <v>14</v>
      </c>
      <c r="D30" t="s">
        <v>65</v>
      </c>
      <c r="E30" s="1">
        <v>45175</v>
      </c>
      <c r="F30" t="s">
        <v>5</v>
      </c>
      <c r="G30">
        <v>4627</v>
      </c>
      <c r="H30">
        <v>5935</v>
      </c>
      <c r="I30">
        <v>2.29</v>
      </c>
      <c r="J30">
        <v>118</v>
      </c>
      <c r="K30">
        <f t="shared" ca="1" si="23"/>
        <v>792</v>
      </c>
      <c r="M30">
        <f t="shared" ca="1" si="24"/>
        <v>792</v>
      </c>
      <c r="N30" t="str">
        <f>IF(I32&gt;=3.5,"Excellent",IF(I32&gt;=3,"Good",IF(I32&gt;=2,"Average","Poor")))</f>
        <v>Good</v>
      </c>
      <c r="O30" t="e">
        <f t="shared" si="26"/>
        <v>#N/A</v>
      </c>
      <c r="P30" t="str">
        <f t="shared" si="27"/>
        <v>YES</v>
      </c>
      <c r="Q30">
        <f t="shared" si="22"/>
        <v>777918</v>
      </c>
      <c r="R30" t="str">
        <f>IF(MONTH(E24)&gt;=6, YEAR(E24) &amp; "-" &amp; YEAR(E24)+1, YEAR(E24)-1 &amp; "-" &amp; YEAR(E24))</f>
        <v>2023-2024</v>
      </c>
    </row>
    <row r="31" spans="1:18" hidden="1" x14ac:dyDescent="0.25">
      <c r="A31" t="s">
        <v>90</v>
      </c>
      <c r="B31" t="s">
        <v>91</v>
      </c>
      <c r="C31" t="s">
        <v>2</v>
      </c>
      <c r="D31" t="s">
        <v>9</v>
      </c>
      <c r="E31" s="1">
        <v>45416</v>
      </c>
      <c r="F31" t="s">
        <v>11</v>
      </c>
      <c r="G31">
        <v>6711</v>
      </c>
      <c r="H31">
        <v>9649</v>
      </c>
      <c r="I31">
        <v>3.2</v>
      </c>
      <c r="J31">
        <v>54</v>
      </c>
      <c r="Q31">
        <f t="shared" si="22"/>
        <v>777918</v>
      </c>
    </row>
    <row r="32" spans="1:18" hidden="1" x14ac:dyDescent="0.25">
      <c r="A32" t="s">
        <v>92</v>
      </c>
      <c r="B32" t="s">
        <v>93</v>
      </c>
      <c r="C32" t="s">
        <v>58</v>
      </c>
      <c r="D32" t="s">
        <v>9</v>
      </c>
      <c r="E32" t="s">
        <v>94</v>
      </c>
      <c r="F32" t="s">
        <v>11</v>
      </c>
      <c r="G32">
        <v>2173</v>
      </c>
      <c r="H32">
        <v>5739</v>
      </c>
      <c r="I32">
        <v>3.09</v>
      </c>
      <c r="J32">
        <v>97</v>
      </c>
      <c r="Q32">
        <f t="shared" si="22"/>
        <v>771207</v>
      </c>
    </row>
    <row r="33" spans="1:18" x14ac:dyDescent="0.25">
      <c r="A33" t="s">
        <v>95</v>
      </c>
      <c r="B33" t="s">
        <v>96</v>
      </c>
      <c r="C33" t="s">
        <v>58</v>
      </c>
      <c r="D33" t="s">
        <v>65</v>
      </c>
      <c r="E33" s="1">
        <v>44836</v>
      </c>
      <c r="F33" t="s">
        <v>5</v>
      </c>
      <c r="G33">
        <v>8163</v>
      </c>
      <c r="H33">
        <v>7715</v>
      </c>
      <c r="I33">
        <v>2.2799999999999998</v>
      </c>
      <c r="J33">
        <v>19</v>
      </c>
      <c r="K33">
        <f t="shared" ref="K33:K34" ca="1" si="28">IF(F33="Enrolled", TODAY()-E33, "")</f>
        <v>1131</v>
      </c>
      <c r="M33">
        <f t="shared" ref="M33:M34" ca="1" si="29">IF(F33="Enrolled",TODAY() - E33,"")</f>
        <v>1131</v>
      </c>
      <c r="N33" t="str">
        <f t="shared" ref="N33:N34" si="30">IF(I35&gt;=3.5,"Excellent",IF(I35&gt;=3,"Good",IF(I35&gt;=2,"Average","Poor")))</f>
        <v>Average</v>
      </c>
      <c r="O33" t="e">
        <f t="shared" ref="O33:O34" si="31">VLOOKUP(D33, $T$18:$U$23, 2, FALSE)</f>
        <v>#N/A</v>
      </c>
      <c r="P33" t="str">
        <f t="shared" ref="P33:P34" si="32">IF(H33 &gt; 0.5 * G33, "YES", "NO")</f>
        <v>YES</v>
      </c>
      <c r="Q33">
        <f t="shared" si="22"/>
        <v>769034</v>
      </c>
      <c r="R33" t="str">
        <f>IF(MONTH(E27)&gt;=6, YEAR(E27) &amp; "-" &amp; YEAR(E27)+1, YEAR(E27)-1 &amp; "-" &amp; YEAR(E27))</f>
        <v>2023-2024</v>
      </c>
    </row>
    <row r="34" spans="1:18" x14ac:dyDescent="0.25">
      <c r="A34" t="s">
        <v>97</v>
      </c>
      <c r="B34" t="s">
        <v>98</v>
      </c>
      <c r="C34" t="s">
        <v>21</v>
      </c>
      <c r="D34" t="s">
        <v>3</v>
      </c>
      <c r="E34" s="1">
        <v>44562</v>
      </c>
      <c r="F34" t="s">
        <v>5</v>
      </c>
      <c r="G34">
        <v>14774</v>
      </c>
      <c r="H34">
        <v>1884</v>
      </c>
      <c r="I34">
        <v>2.78</v>
      </c>
      <c r="J34">
        <v>9</v>
      </c>
      <c r="K34">
        <f t="shared" ca="1" si="28"/>
        <v>1405</v>
      </c>
      <c r="M34">
        <f t="shared" ca="1" si="29"/>
        <v>1405</v>
      </c>
      <c r="N34" t="str">
        <f t="shared" si="30"/>
        <v>Average</v>
      </c>
      <c r="O34" t="e">
        <f t="shared" si="31"/>
        <v>#N/A</v>
      </c>
      <c r="P34" t="str">
        <f t="shared" si="32"/>
        <v>NO</v>
      </c>
      <c r="Q34">
        <f t="shared" si="22"/>
        <v>769034</v>
      </c>
      <c r="R34" t="str">
        <f>IF(MONTH(E28)&gt;=6, YEAR(E28) &amp; "-" &amp; YEAR(E28)+1, YEAR(E28)-1 &amp; "-" &amp; YEAR(E28))</f>
        <v>2023-2024</v>
      </c>
    </row>
    <row r="35" spans="1:18" hidden="1" x14ac:dyDescent="0.25">
      <c r="A35" t="s">
        <v>99</v>
      </c>
      <c r="B35" t="s">
        <v>100</v>
      </c>
      <c r="C35" t="s">
        <v>58</v>
      </c>
      <c r="D35" t="s">
        <v>25</v>
      </c>
      <c r="E35" t="s">
        <v>101</v>
      </c>
      <c r="F35" t="s">
        <v>11</v>
      </c>
      <c r="G35">
        <v>7783</v>
      </c>
      <c r="H35">
        <v>3240</v>
      </c>
      <c r="I35">
        <v>2.82</v>
      </c>
      <c r="J35">
        <v>115</v>
      </c>
      <c r="Q35">
        <f t="shared" si="22"/>
        <v>769034</v>
      </c>
    </row>
    <row r="36" spans="1:18" hidden="1" x14ac:dyDescent="0.25">
      <c r="A36" t="s">
        <v>102</v>
      </c>
      <c r="B36" t="s">
        <v>103</v>
      </c>
      <c r="C36" t="s">
        <v>17</v>
      </c>
      <c r="D36" t="s">
        <v>25</v>
      </c>
      <c r="E36" t="s">
        <v>104</v>
      </c>
      <c r="F36" t="s">
        <v>11</v>
      </c>
      <c r="G36">
        <v>14442</v>
      </c>
      <c r="H36">
        <v>7220</v>
      </c>
      <c r="I36">
        <v>2.76</v>
      </c>
      <c r="J36">
        <v>109</v>
      </c>
      <c r="Q36">
        <f t="shared" si="22"/>
        <v>769034</v>
      </c>
    </row>
    <row r="37" spans="1:18" x14ac:dyDescent="0.25">
      <c r="A37" t="s">
        <v>105</v>
      </c>
      <c r="B37" t="s">
        <v>106</v>
      </c>
      <c r="C37" t="s">
        <v>55</v>
      </c>
      <c r="D37" t="s">
        <v>9</v>
      </c>
      <c r="E37" s="1">
        <v>45112</v>
      </c>
      <c r="F37" t="s">
        <v>5</v>
      </c>
      <c r="G37">
        <v>4770</v>
      </c>
      <c r="H37">
        <v>945</v>
      </c>
      <c r="I37">
        <v>2.75</v>
      </c>
      <c r="J37">
        <v>38</v>
      </c>
      <c r="K37">
        <f t="shared" ref="K37" ca="1" si="33">IF(F37="Enrolled", TODAY()-E37, "")</f>
        <v>855</v>
      </c>
      <c r="M37">
        <f ca="1">IF(F37="Enrolled",TODAY() - E37,"")</f>
        <v>855</v>
      </c>
      <c r="N37" t="str">
        <f>IF(I39&gt;=3.5,"Excellent",IF(I39&gt;=3,"Good",IF(I39&gt;=2,"Average","Poor")))</f>
        <v>Average</v>
      </c>
      <c r="O37" t="e">
        <f>VLOOKUP(D37, $T$18:$U$23, 2, FALSE)</f>
        <v>#N/A</v>
      </c>
      <c r="P37" t="str">
        <f>IF(H37 &gt; 0.5 * G37, "YES", "NO")</f>
        <v>NO</v>
      </c>
      <c r="Q37">
        <f t="shared" si="22"/>
        <v>769034</v>
      </c>
      <c r="R37" t="str">
        <f>IF(MONTH(E31)&gt;=6, YEAR(E31) &amp; "-" &amp; YEAR(E31)+1, YEAR(E31)-1 &amp; "-" &amp; YEAR(E31))</f>
        <v>2023-2024</v>
      </c>
    </row>
    <row r="38" spans="1:18" hidden="1" x14ac:dyDescent="0.25">
      <c r="A38" t="s">
        <v>107</v>
      </c>
      <c r="B38" t="s">
        <v>108</v>
      </c>
      <c r="C38" t="s">
        <v>8</v>
      </c>
      <c r="D38" t="s">
        <v>3</v>
      </c>
      <c r="E38" s="1">
        <v>45445</v>
      </c>
      <c r="F38" t="s">
        <v>11</v>
      </c>
      <c r="G38">
        <v>14761</v>
      </c>
      <c r="H38">
        <v>4478</v>
      </c>
      <c r="I38">
        <v>2.65</v>
      </c>
      <c r="J38">
        <v>2</v>
      </c>
      <c r="Q38">
        <f t="shared" si="22"/>
        <v>769034</v>
      </c>
    </row>
    <row r="39" spans="1:18" hidden="1" x14ac:dyDescent="0.25">
      <c r="A39" t="s">
        <v>109</v>
      </c>
      <c r="B39" t="s">
        <v>110</v>
      </c>
      <c r="C39" t="s">
        <v>58</v>
      </c>
      <c r="D39" t="s">
        <v>9</v>
      </c>
      <c r="E39" t="s">
        <v>111</v>
      </c>
      <c r="F39" t="s">
        <v>11</v>
      </c>
      <c r="G39">
        <v>14013</v>
      </c>
      <c r="H39">
        <v>9022</v>
      </c>
      <c r="I39">
        <v>2.13</v>
      </c>
      <c r="J39">
        <v>10</v>
      </c>
      <c r="Q39">
        <f t="shared" si="22"/>
        <v>769034</v>
      </c>
    </row>
    <row r="40" spans="1:18" hidden="1" x14ac:dyDescent="0.25">
      <c r="A40" t="s">
        <v>112</v>
      </c>
      <c r="B40" t="s">
        <v>113</v>
      </c>
      <c r="C40" t="s">
        <v>17</v>
      </c>
      <c r="D40" t="s">
        <v>65</v>
      </c>
      <c r="E40" t="s">
        <v>114</v>
      </c>
      <c r="F40" t="s">
        <v>11</v>
      </c>
      <c r="G40">
        <v>8345</v>
      </c>
      <c r="H40">
        <v>5347</v>
      </c>
      <c r="I40">
        <v>3.8</v>
      </c>
      <c r="J40">
        <v>53</v>
      </c>
      <c r="Q40">
        <f t="shared" si="22"/>
        <v>755021</v>
      </c>
    </row>
    <row r="41" spans="1:18" x14ac:dyDescent="0.25">
      <c r="A41" t="s">
        <v>115</v>
      </c>
      <c r="B41" t="s">
        <v>116</v>
      </c>
      <c r="C41" t="s">
        <v>8</v>
      </c>
      <c r="D41" t="s">
        <v>9</v>
      </c>
      <c r="E41" t="s">
        <v>117</v>
      </c>
      <c r="F41" t="s">
        <v>5</v>
      </c>
      <c r="G41">
        <v>10449</v>
      </c>
      <c r="H41">
        <v>4324</v>
      </c>
      <c r="I41">
        <v>3.08</v>
      </c>
      <c r="J41">
        <v>2</v>
      </c>
      <c r="K41">
        <f t="shared" ref="K41:K43" ca="1" si="34">IF(F41="Enrolled", TODAY()-E41, "")</f>
        <v>1084</v>
      </c>
      <c r="M41">
        <f t="shared" ref="M41:M43" ca="1" si="35">IF(F41="Enrolled",TODAY() - E41,"")</f>
        <v>1084</v>
      </c>
      <c r="N41" t="str">
        <f t="shared" ref="N41:N43" si="36">IF(I43&gt;=3.5,"Excellent",IF(I43&gt;=3,"Good",IF(I43&gt;=2,"Average","Poor")))</f>
        <v>Good</v>
      </c>
      <c r="O41" t="e">
        <f t="shared" ref="O41:O43" si="37">VLOOKUP(D41, $T$18:$U$23, 2, FALSE)</f>
        <v>#N/A</v>
      </c>
      <c r="P41" t="str">
        <f t="shared" ref="P41:P59" si="38">IF(H41 &gt; 0.5 * G41, "YES", "NO")</f>
        <v>NO</v>
      </c>
      <c r="Q41">
        <f t="shared" si="22"/>
        <v>755021</v>
      </c>
      <c r="R41" t="str">
        <f t="shared" ref="R41:R43" si="39">IF(MONTH(E35)&gt;=6, YEAR(E35) &amp; "-" &amp; YEAR(E35)+1, YEAR(E35)-1 &amp; "-" &amp; YEAR(E35))</f>
        <v>2023-2024</v>
      </c>
    </row>
    <row r="42" spans="1:18" x14ac:dyDescent="0.25">
      <c r="A42" t="s">
        <v>118</v>
      </c>
      <c r="B42" t="s">
        <v>119</v>
      </c>
      <c r="C42" t="s">
        <v>32</v>
      </c>
      <c r="D42" t="s">
        <v>25</v>
      </c>
      <c r="E42" t="s">
        <v>120</v>
      </c>
      <c r="F42" t="s">
        <v>5</v>
      </c>
      <c r="G42">
        <v>14303</v>
      </c>
      <c r="H42">
        <v>4160</v>
      </c>
      <c r="I42">
        <v>2.39</v>
      </c>
      <c r="J42">
        <v>42</v>
      </c>
      <c r="K42">
        <f t="shared" ca="1" si="34"/>
        <v>988</v>
      </c>
      <c r="M42">
        <f t="shared" ca="1" si="35"/>
        <v>988</v>
      </c>
      <c r="N42" t="str">
        <f t="shared" si="36"/>
        <v>Average</v>
      </c>
      <c r="O42" t="e">
        <f t="shared" si="37"/>
        <v>#N/A</v>
      </c>
      <c r="P42" t="str">
        <f t="shared" si="38"/>
        <v>NO</v>
      </c>
      <c r="Q42">
        <f t="shared" si="22"/>
        <v>755021</v>
      </c>
      <c r="R42" t="str">
        <f t="shared" si="39"/>
        <v>2021-2022</v>
      </c>
    </row>
    <row r="43" spans="1:18" x14ac:dyDescent="0.25">
      <c r="A43" t="s">
        <v>121</v>
      </c>
      <c r="B43" t="s">
        <v>122</v>
      </c>
      <c r="C43" t="s">
        <v>55</v>
      </c>
      <c r="D43" t="s">
        <v>9</v>
      </c>
      <c r="E43" t="s">
        <v>123</v>
      </c>
      <c r="F43" t="s">
        <v>5</v>
      </c>
      <c r="G43">
        <v>5900</v>
      </c>
      <c r="H43">
        <v>9481</v>
      </c>
      <c r="I43">
        <v>3.17</v>
      </c>
      <c r="J43">
        <v>15</v>
      </c>
      <c r="K43">
        <f t="shared" ca="1" si="34"/>
        <v>1390</v>
      </c>
      <c r="M43">
        <f t="shared" ca="1" si="35"/>
        <v>1390</v>
      </c>
      <c r="N43" t="str">
        <f t="shared" si="36"/>
        <v>Good</v>
      </c>
      <c r="O43" t="e">
        <f t="shared" si="37"/>
        <v>#N/A</v>
      </c>
      <c r="P43" t="str">
        <f t="shared" si="38"/>
        <v>YES</v>
      </c>
      <c r="Q43">
        <f t="shared" si="22"/>
        <v>755021</v>
      </c>
      <c r="R43" t="str">
        <f t="shared" si="39"/>
        <v>2023-2024</v>
      </c>
    </row>
    <row r="44" spans="1:18" hidden="1" x14ac:dyDescent="0.25">
      <c r="A44" t="s">
        <v>124</v>
      </c>
      <c r="B44" t="s">
        <v>125</v>
      </c>
      <c r="C44" t="s">
        <v>32</v>
      </c>
      <c r="D44" t="s">
        <v>9</v>
      </c>
      <c r="E44" t="s">
        <v>126</v>
      </c>
      <c r="F44" t="s">
        <v>11</v>
      </c>
      <c r="G44">
        <v>6128</v>
      </c>
      <c r="H44">
        <v>7957</v>
      </c>
      <c r="I44">
        <v>2.2799999999999998</v>
      </c>
      <c r="J44">
        <v>115</v>
      </c>
      <c r="Q44">
        <f t="shared" si="22"/>
        <v>755021</v>
      </c>
    </row>
    <row r="45" spans="1:18" x14ac:dyDescent="0.25">
      <c r="A45" t="s">
        <v>127</v>
      </c>
      <c r="B45" t="s">
        <v>128</v>
      </c>
      <c r="C45" t="s">
        <v>32</v>
      </c>
      <c r="D45" t="s">
        <v>3</v>
      </c>
      <c r="E45" s="1">
        <v>45263</v>
      </c>
      <c r="F45" t="s">
        <v>5</v>
      </c>
      <c r="G45">
        <v>10731</v>
      </c>
      <c r="H45">
        <v>8324</v>
      </c>
      <c r="I45">
        <v>3.2</v>
      </c>
      <c r="J45">
        <v>13</v>
      </c>
      <c r="K45">
        <f t="shared" ref="K45:K49" ca="1" si="40">IF(F45="Enrolled", TODAY()-E45, "")</f>
        <v>704</v>
      </c>
      <c r="M45">
        <f t="shared" ref="M45:M49" ca="1" si="41">IF(F45="Enrolled",TODAY() - E45,"")</f>
        <v>704</v>
      </c>
      <c r="N45" t="str">
        <f t="shared" ref="N45:N49" si="42">IF(I47&gt;=3.5,"Excellent",IF(I47&gt;=3,"Good",IF(I47&gt;=2,"Average","Poor")))</f>
        <v>Good</v>
      </c>
      <c r="O45" t="e">
        <f t="shared" ref="O45:O49" si="43">VLOOKUP(D45, $T$18:$U$23, 2, FALSE)</f>
        <v>#N/A</v>
      </c>
      <c r="P45" t="str">
        <f t="shared" si="38"/>
        <v>YES</v>
      </c>
      <c r="Q45">
        <f t="shared" si="22"/>
        <v>748893</v>
      </c>
      <c r="R45" t="str">
        <f t="shared" ref="R45:R49" si="44">IF(MONTH(E39)&gt;=6, YEAR(E39) &amp; "-" &amp; YEAR(E39)+1, YEAR(E39)-1 &amp; "-" &amp; YEAR(E39))</f>
        <v>2021-2022</v>
      </c>
    </row>
    <row r="46" spans="1:18" x14ac:dyDescent="0.25">
      <c r="A46" t="s">
        <v>129</v>
      </c>
      <c r="B46" t="s">
        <v>130</v>
      </c>
      <c r="C46" t="s">
        <v>55</v>
      </c>
      <c r="D46" t="s">
        <v>25</v>
      </c>
      <c r="E46" t="s">
        <v>131</v>
      </c>
      <c r="F46" t="s">
        <v>5</v>
      </c>
      <c r="G46">
        <v>12461</v>
      </c>
      <c r="H46">
        <v>5874</v>
      </c>
      <c r="I46">
        <v>2.31</v>
      </c>
      <c r="J46">
        <v>114</v>
      </c>
      <c r="K46">
        <f t="shared" ca="1" si="40"/>
        <v>1318</v>
      </c>
      <c r="M46">
        <f t="shared" ca="1" si="41"/>
        <v>1318</v>
      </c>
      <c r="N46" t="str">
        <f t="shared" si="42"/>
        <v>Good</v>
      </c>
      <c r="O46" t="e">
        <f t="shared" si="43"/>
        <v>#N/A</v>
      </c>
      <c r="P46" t="str">
        <f t="shared" si="38"/>
        <v>NO</v>
      </c>
      <c r="Q46">
        <f t="shared" si="22"/>
        <v>748893</v>
      </c>
      <c r="R46" t="str">
        <f t="shared" si="44"/>
        <v>2023-2024</v>
      </c>
    </row>
    <row r="47" spans="1:18" x14ac:dyDescent="0.25">
      <c r="A47" t="s">
        <v>132</v>
      </c>
      <c r="B47" t="s">
        <v>133</v>
      </c>
      <c r="C47" t="s">
        <v>32</v>
      </c>
      <c r="D47" t="s">
        <v>3</v>
      </c>
      <c r="E47" t="s">
        <v>134</v>
      </c>
      <c r="F47" t="s">
        <v>5</v>
      </c>
      <c r="G47">
        <v>13677</v>
      </c>
      <c r="H47">
        <v>7817</v>
      </c>
      <c r="I47">
        <v>3.39</v>
      </c>
      <c r="J47">
        <v>74</v>
      </c>
      <c r="K47">
        <f t="shared" ca="1" si="40"/>
        <v>807</v>
      </c>
      <c r="M47">
        <f t="shared" ca="1" si="41"/>
        <v>807</v>
      </c>
      <c r="N47" t="str">
        <f t="shared" si="42"/>
        <v>Good</v>
      </c>
      <c r="O47" t="e">
        <f t="shared" si="43"/>
        <v>#N/A</v>
      </c>
      <c r="P47" t="str">
        <f t="shared" si="38"/>
        <v>YES</v>
      </c>
      <c r="Q47">
        <f t="shared" si="22"/>
        <v>748893</v>
      </c>
      <c r="R47" t="str">
        <f t="shared" si="44"/>
        <v>2022-2023</v>
      </c>
    </row>
    <row r="48" spans="1:18" x14ac:dyDescent="0.25">
      <c r="A48" t="s">
        <v>135</v>
      </c>
      <c r="B48" t="s">
        <v>136</v>
      </c>
      <c r="C48" t="s">
        <v>14</v>
      </c>
      <c r="D48" t="s">
        <v>3</v>
      </c>
      <c r="E48" s="1">
        <v>44935</v>
      </c>
      <c r="F48" t="s">
        <v>5</v>
      </c>
      <c r="G48">
        <v>9276</v>
      </c>
      <c r="H48">
        <v>5837</v>
      </c>
      <c r="I48">
        <v>3.16</v>
      </c>
      <c r="J48">
        <v>92</v>
      </c>
      <c r="K48">
        <f t="shared" ca="1" si="40"/>
        <v>1032</v>
      </c>
      <c r="M48">
        <f t="shared" ca="1" si="41"/>
        <v>1032</v>
      </c>
      <c r="N48" t="str">
        <f t="shared" si="42"/>
        <v>Excellent</v>
      </c>
      <c r="O48" t="e">
        <f t="shared" si="43"/>
        <v>#N/A</v>
      </c>
      <c r="P48" t="str">
        <f t="shared" si="38"/>
        <v>YES</v>
      </c>
      <c r="Q48">
        <f t="shared" si="22"/>
        <v>748893</v>
      </c>
      <c r="R48" t="str">
        <f t="shared" si="44"/>
        <v>2022-2023</v>
      </c>
    </row>
    <row r="49" spans="1:18" x14ac:dyDescent="0.25">
      <c r="A49" t="s">
        <v>137</v>
      </c>
      <c r="B49" t="s">
        <v>138</v>
      </c>
      <c r="C49" t="s">
        <v>2</v>
      </c>
      <c r="D49" t="s">
        <v>9</v>
      </c>
      <c r="E49" t="s">
        <v>139</v>
      </c>
      <c r="F49" t="s">
        <v>5</v>
      </c>
      <c r="G49">
        <v>2183</v>
      </c>
      <c r="H49">
        <v>7214</v>
      </c>
      <c r="I49">
        <v>3.33</v>
      </c>
      <c r="J49">
        <v>97</v>
      </c>
      <c r="K49">
        <f t="shared" ca="1" si="40"/>
        <v>785</v>
      </c>
      <c r="M49">
        <f t="shared" ca="1" si="41"/>
        <v>785</v>
      </c>
      <c r="N49" t="str">
        <f t="shared" si="42"/>
        <v>Average</v>
      </c>
      <c r="O49" t="e">
        <f t="shared" si="43"/>
        <v>#N/A</v>
      </c>
      <c r="P49" t="str">
        <f t="shared" si="38"/>
        <v>YES</v>
      </c>
      <c r="Q49">
        <f t="shared" si="22"/>
        <v>748893</v>
      </c>
      <c r="R49" t="str">
        <f t="shared" si="44"/>
        <v>2021-2022</v>
      </c>
    </row>
    <row r="50" spans="1:18" hidden="1" x14ac:dyDescent="0.25">
      <c r="A50" t="s">
        <v>140</v>
      </c>
      <c r="B50" t="s">
        <v>141</v>
      </c>
      <c r="C50" t="s">
        <v>14</v>
      </c>
      <c r="D50" t="s">
        <v>3</v>
      </c>
      <c r="E50" t="s">
        <v>142</v>
      </c>
      <c r="F50" t="s">
        <v>11</v>
      </c>
      <c r="G50">
        <v>6227</v>
      </c>
      <c r="H50">
        <v>5349</v>
      </c>
      <c r="I50">
        <v>3.85</v>
      </c>
      <c r="J50">
        <v>75</v>
      </c>
      <c r="Q50">
        <f t="shared" si="22"/>
        <v>748893</v>
      </c>
    </row>
    <row r="51" spans="1:18" x14ac:dyDescent="0.25">
      <c r="A51" t="s">
        <v>143</v>
      </c>
      <c r="B51" t="s">
        <v>144</v>
      </c>
      <c r="C51" t="s">
        <v>21</v>
      </c>
      <c r="D51" t="s">
        <v>3</v>
      </c>
      <c r="E51" s="1">
        <v>44744</v>
      </c>
      <c r="F51" t="s">
        <v>5</v>
      </c>
      <c r="G51">
        <v>4500</v>
      </c>
      <c r="H51">
        <v>1352</v>
      </c>
      <c r="I51">
        <v>2.91</v>
      </c>
      <c r="J51">
        <v>87</v>
      </c>
      <c r="K51">
        <f t="shared" ref="K51:K54" ca="1" si="45">IF(F51="Enrolled", TODAY()-E51, "")</f>
        <v>1223</v>
      </c>
      <c r="M51">
        <f t="shared" ref="M51:M54" ca="1" si="46">IF(F51="Enrolled",TODAY() - E51,"")</f>
        <v>1223</v>
      </c>
      <c r="N51" t="str">
        <f t="shared" ref="N51:N54" si="47">IF(I53&gt;=3.5,"Excellent",IF(I53&gt;=3,"Good",IF(I53&gt;=2,"Average","Poor")))</f>
        <v>Good</v>
      </c>
      <c r="O51" t="e">
        <f t="shared" ref="O51:O54" si="48">VLOOKUP(D51, $T$18:$U$23, 2, FALSE)</f>
        <v>#N/A</v>
      </c>
      <c r="P51" t="str">
        <f t="shared" si="38"/>
        <v>NO</v>
      </c>
      <c r="Q51">
        <f t="shared" si="22"/>
        <v>748893</v>
      </c>
      <c r="R51" t="str">
        <f t="shared" ref="R51:R54" si="49">IF(MONTH(E45)&gt;=6, YEAR(E45) &amp; "-" &amp; YEAR(E45)+1, YEAR(E45)-1 &amp; "-" &amp; YEAR(E45))</f>
        <v>2023-2024</v>
      </c>
    </row>
    <row r="52" spans="1:18" x14ac:dyDescent="0.25">
      <c r="A52" t="s">
        <v>145</v>
      </c>
      <c r="B52" t="s">
        <v>146</v>
      </c>
      <c r="C52" t="s">
        <v>32</v>
      </c>
      <c r="D52" t="s">
        <v>9</v>
      </c>
      <c r="E52" s="1">
        <v>45325</v>
      </c>
      <c r="F52" t="s">
        <v>5</v>
      </c>
      <c r="G52">
        <v>4615</v>
      </c>
      <c r="H52">
        <v>3667</v>
      </c>
      <c r="I52">
        <v>3.61</v>
      </c>
      <c r="J52">
        <v>41</v>
      </c>
      <c r="K52">
        <f t="shared" ca="1" si="45"/>
        <v>642</v>
      </c>
      <c r="M52">
        <f t="shared" ca="1" si="46"/>
        <v>642</v>
      </c>
      <c r="N52" t="str">
        <f t="shared" si="47"/>
        <v>Average</v>
      </c>
      <c r="O52" t="e">
        <f t="shared" si="48"/>
        <v>#N/A</v>
      </c>
      <c r="P52" t="str">
        <f t="shared" si="38"/>
        <v>YES</v>
      </c>
      <c r="Q52">
        <f t="shared" si="22"/>
        <v>748893</v>
      </c>
      <c r="R52" t="str">
        <f t="shared" si="49"/>
        <v>2021-2022</v>
      </c>
    </row>
    <row r="53" spans="1:18" x14ac:dyDescent="0.25">
      <c r="A53" t="s">
        <v>147</v>
      </c>
      <c r="B53" t="s">
        <v>148</v>
      </c>
      <c r="C53" t="s">
        <v>21</v>
      </c>
      <c r="D53" t="s">
        <v>65</v>
      </c>
      <c r="E53" t="s">
        <v>149</v>
      </c>
      <c r="F53" t="s">
        <v>5</v>
      </c>
      <c r="G53">
        <v>11879</v>
      </c>
      <c r="H53">
        <v>1955</v>
      </c>
      <c r="I53">
        <v>3.1</v>
      </c>
      <c r="J53">
        <v>7</v>
      </c>
      <c r="K53">
        <f t="shared" ca="1" si="45"/>
        <v>1262</v>
      </c>
      <c r="M53">
        <f t="shared" ca="1" si="46"/>
        <v>1262</v>
      </c>
      <c r="N53" t="str">
        <f t="shared" si="47"/>
        <v>Excellent</v>
      </c>
      <c r="O53" t="e">
        <f t="shared" si="48"/>
        <v>#N/A</v>
      </c>
      <c r="P53" t="str">
        <f t="shared" si="38"/>
        <v>NO</v>
      </c>
      <c r="Q53">
        <f t="shared" si="22"/>
        <v>748893</v>
      </c>
      <c r="R53" t="str">
        <f t="shared" si="49"/>
        <v>2023-2024</v>
      </c>
    </row>
    <row r="54" spans="1:18" x14ac:dyDescent="0.25">
      <c r="A54" t="s">
        <v>150</v>
      </c>
      <c r="B54" t="s">
        <v>151</v>
      </c>
      <c r="C54" t="s">
        <v>32</v>
      </c>
      <c r="D54" t="s">
        <v>65</v>
      </c>
      <c r="E54" t="s">
        <v>152</v>
      </c>
      <c r="F54" t="s">
        <v>5</v>
      </c>
      <c r="G54">
        <v>4067</v>
      </c>
      <c r="H54">
        <v>6992</v>
      </c>
      <c r="I54">
        <v>2.34</v>
      </c>
      <c r="J54">
        <v>20</v>
      </c>
      <c r="K54">
        <f t="shared" ca="1" si="45"/>
        <v>1074</v>
      </c>
      <c r="M54">
        <f t="shared" ca="1" si="46"/>
        <v>1074</v>
      </c>
      <c r="N54" t="str">
        <f t="shared" si="47"/>
        <v>Excellent</v>
      </c>
      <c r="O54" t="e">
        <f t="shared" si="48"/>
        <v>#N/A</v>
      </c>
      <c r="P54" t="str">
        <f t="shared" si="38"/>
        <v>YES</v>
      </c>
      <c r="Q54">
        <f t="shared" si="22"/>
        <v>748893</v>
      </c>
      <c r="R54" t="str">
        <f t="shared" si="49"/>
        <v>2022-2023</v>
      </c>
    </row>
    <row r="55" spans="1:18" hidden="1" x14ac:dyDescent="0.25">
      <c r="A55" t="s">
        <v>153</v>
      </c>
      <c r="B55" t="s">
        <v>154</v>
      </c>
      <c r="C55" t="s">
        <v>17</v>
      </c>
      <c r="D55" t="s">
        <v>9</v>
      </c>
      <c r="E55" t="s">
        <v>155</v>
      </c>
      <c r="F55" t="s">
        <v>11</v>
      </c>
      <c r="G55">
        <v>4873</v>
      </c>
      <c r="H55">
        <v>4377</v>
      </c>
      <c r="I55">
        <v>3.78</v>
      </c>
      <c r="J55">
        <v>80</v>
      </c>
      <c r="Q55">
        <f t="shared" si="22"/>
        <v>748893</v>
      </c>
    </row>
    <row r="56" spans="1:18" x14ac:dyDescent="0.25">
      <c r="A56" t="s">
        <v>156</v>
      </c>
      <c r="B56" t="s">
        <v>157</v>
      </c>
      <c r="C56" t="s">
        <v>8</v>
      </c>
      <c r="D56" t="s">
        <v>65</v>
      </c>
      <c r="E56" s="1">
        <v>45017</v>
      </c>
      <c r="F56" t="s">
        <v>5</v>
      </c>
      <c r="G56">
        <v>3391</v>
      </c>
      <c r="H56">
        <v>8884</v>
      </c>
      <c r="I56">
        <v>3.88</v>
      </c>
      <c r="J56">
        <v>59</v>
      </c>
      <c r="K56">
        <f t="shared" ref="K56:K59" ca="1" si="50">IF(F56="Enrolled", TODAY()-E56, "")</f>
        <v>950</v>
      </c>
      <c r="M56">
        <f t="shared" ref="M56:M59" ca="1" si="51">IF(F56="Enrolled",TODAY() - E56,"")</f>
        <v>950</v>
      </c>
      <c r="N56" t="str">
        <f t="shared" ref="N56:N59" si="52">IF(I58&gt;=3.5,"Excellent",IF(I58&gt;=3,"Good",IF(I58&gt;=2,"Average","Poor")))</f>
        <v>Average</v>
      </c>
      <c r="O56" t="e">
        <f t="shared" ref="O56:O59" si="53">VLOOKUP(D56, $T$18:$U$23, 2, FALSE)</f>
        <v>#N/A</v>
      </c>
      <c r="P56" t="str">
        <f t="shared" si="38"/>
        <v>YES</v>
      </c>
      <c r="Q56">
        <f t="shared" si="22"/>
        <v>744020</v>
      </c>
      <c r="R56" t="str">
        <f t="shared" ref="R56:R59" si="54">IF(MONTH(E50)&gt;=6, YEAR(E50) &amp; "-" &amp; YEAR(E50)+1, YEAR(E50)-1 &amp; "-" &amp; YEAR(E50))</f>
        <v>2022-2023</v>
      </c>
    </row>
    <row r="57" spans="1:18" x14ac:dyDescent="0.25">
      <c r="A57" t="s">
        <v>158</v>
      </c>
      <c r="B57" t="s">
        <v>159</v>
      </c>
      <c r="C57" t="s">
        <v>17</v>
      </c>
      <c r="D57" t="s">
        <v>65</v>
      </c>
      <c r="E57" s="1">
        <v>45536</v>
      </c>
      <c r="F57" t="s">
        <v>5</v>
      </c>
      <c r="G57">
        <v>10808</v>
      </c>
      <c r="H57">
        <v>8868</v>
      </c>
      <c r="I57">
        <v>2.4300000000000002</v>
      </c>
      <c r="J57">
        <v>18</v>
      </c>
      <c r="K57">
        <f t="shared" ca="1" si="50"/>
        <v>431</v>
      </c>
      <c r="M57">
        <f t="shared" ca="1" si="51"/>
        <v>431</v>
      </c>
      <c r="N57" t="str">
        <f t="shared" si="52"/>
        <v>Good</v>
      </c>
      <c r="O57" t="e">
        <f t="shared" si="53"/>
        <v>#N/A</v>
      </c>
      <c r="P57" t="str">
        <f t="shared" si="38"/>
        <v>YES</v>
      </c>
      <c r="Q57">
        <f t="shared" si="22"/>
        <v>744020</v>
      </c>
      <c r="R57" t="str">
        <f t="shared" si="54"/>
        <v>2022-2023</v>
      </c>
    </row>
    <row r="58" spans="1:18" x14ac:dyDescent="0.25">
      <c r="A58" t="s">
        <v>160</v>
      </c>
      <c r="B58" t="s">
        <v>161</v>
      </c>
      <c r="C58" t="s">
        <v>55</v>
      </c>
      <c r="D58" t="s">
        <v>3</v>
      </c>
      <c r="E58" s="1">
        <v>44903</v>
      </c>
      <c r="F58" t="s">
        <v>5</v>
      </c>
      <c r="G58">
        <v>5739</v>
      </c>
      <c r="H58">
        <v>9881</v>
      </c>
      <c r="I58">
        <v>2.42</v>
      </c>
      <c r="J58">
        <v>78</v>
      </c>
      <c r="K58">
        <f t="shared" ca="1" si="50"/>
        <v>1064</v>
      </c>
      <c r="M58">
        <f t="shared" ca="1" si="51"/>
        <v>1064</v>
      </c>
      <c r="N58" t="str">
        <f t="shared" si="52"/>
        <v>Good</v>
      </c>
      <c r="O58" t="e">
        <f t="shared" si="53"/>
        <v>#N/A</v>
      </c>
      <c r="P58" t="str">
        <f t="shared" si="38"/>
        <v>YES</v>
      </c>
      <c r="Q58">
        <f t="shared" si="22"/>
        <v>744020</v>
      </c>
      <c r="R58" t="str">
        <f t="shared" si="54"/>
        <v>2023-2024</v>
      </c>
    </row>
    <row r="59" spans="1:18" x14ac:dyDescent="0.25">
      <c r="A59" t="s">
        <v>162</v>
      </c>
      <c r="B59" t="s">
        <v>163</v>
      </c>
      <c r="C59" t="s">
        <v>14</v>
      </c>
      <c r="D59" t="s">
        <v>25</v>
      </c>
      <c r="E59" s="1">
        <v>45175</v>
      </c>
      <c r="F59" t="s">
        <v>5</v>
      </c>
      <c r="G59">
        <v>4317</v>
      </c>
      <c r="H59">
        <v>4541</v>
      </c>
      <c r="I59">
        <v>3.49</v>
      </c>
      <c r="J59">
        <v>107</v>
      </c>
      <c r="K59">
        <f t="shared" ca="1" si="50"/>
        <v>792</v>
      </c>
      <c r="M59">
        <f t="shared" ca="1" si="51"/>
        <v>792</v>
      </c>
      <c r="N59" t="str">
        <f t="shared" si="52"/>
        <v>Average</v>
      </c>
      <c r="O59" t="e">
        <f t="shared" si="53"/>
        <v>#N/A</v>
      </c>
      <c r="P59" t="str">
        <f t="shared" si="38"/>
        <v>YES</v>
      </c>
      <c r="Q59">
        <f t="shared" si="22"/>
        <v>744020</v>
      </c>
      <c r="R59" t="str">
        <f t="shared" si="54"/>
        <v>2021-2022</v>
      </c>
    </row>
    <row r="60" spans="1:18" hidden="1" x14ac:dyDescent="0.25">
      <c r="A60" t="s">
        <v>164</v>
      </c>
      <c r="B60" t="s">
        <v>165</v>
      </c>
      <c r="C60" t="s">
        <v>8</v>
      </c>
      <c r="D60" t="s">
        <v>9</v>
      </c>
      <c r="E60" t="s">
        <v>166</v>
      </c>
      <c r="F60" t="s">
        <v>36</v>
      </c>
      <c r="G60">
        <v>7954</v>
      </c>
      <c r="H60">
        <v>9329</v>
      </c>
      <c r="I60">
        <v>3.4</v>
      </c>
      <c r="J60">
        <v>64</v>
      </c>
      <c r="Q60">
        <f t="shared" si="22"/>
        <v>744020</v>
      </c>
    </row>
    <row r="61" spans="1:18" hidden="1" x14ac:dyDescent="0.25">
      <c r="A61" t="s">
        <v>167</v>
      </c>
      <c r="B61" t="s">
        <v>168</v>
      </c>
      <c r="C61" t="s">
        <v>55</v>
      </c>
      <c r="D61" t="s">
        <v>9</v>
      </c>
      <c r="E61" t="s">
        <v>169</v>
      </c>
      <c r="F61" t="s">
        <v>36</v>
      </c>
      <c r="G61">
        <v>10043</v>
      </c>
      <c r="H61">
        <v>631</v>
      </c>
      <c r="I61">
        <v>2.68</v>
      </c>
      <c r="J61">
        <v>77</v>
      </c>
      <c r="Q61">
        <f t="shared" si="22"/>
        <v>744020</v>
      </c>
    </row>
    <row r="62" spans="1:18" x14ac:dyDescent="0.25">
      <c r="A62" t="s">
        <v>170</v>
      </c>
      <c r="B62" t="s">
        <v>171</v>
      </c>
      <c r="C62" t="s">
        <v>32</v>
      </c>
      <c r="D62" t="s">
        <v>65</v>
      </c>
      <c r="E62" s="1">
        <v>44692</v>
      </c>
      <c r="F62" t="s">
        <v>5</v>
      </c>
      <c r="G62">
        <v>6418</v>
      </c>
      <c r="H62">
        <v>3384</v>
      </c>
      <c r="I62">
        <v>2</v>
      </c>
      <c r="J62">
        <v>93</v>
      </c>
      <c r="K62">
        <f t="shared" ref="K62:K64" ca="1" si="55">IF(F62="Enrolled", TODAY()-E62, "")</f>
        <v>1275</v>
      </c>
      <c r="M62">
        <f t="shared" ref="M62:M64" ca="1" si="56">IF(F62="Enrolled",TODAY() - E62,"")</f>
        <v>1275</v>
      </c>
      <c r="N62" t="str">
        <f t="shared" ref="N62:N64" si="57">IF(I64&gt;=3.5,"Excellent",IF(I64&gt;=3,"Good",IF(I64&gt;=2,"Average","Poor")))</f>
        <v>Average</v>
      </c>
      <c r="O62" t="e">
        <f t="shared" ref="O62:O64" si="58">VLOOKUP(D62, $T$18:$U$23, 2, FALSE)</f>
        <v>#N/A</v>
      </c>
      <c r="P62" t="str">
        <f t="shared" ref="P62:P64" si="59">IF(H62 &gt; 0.5 * G62, "YES", "NO")</f>
        <v>YES</v>
      </c>
      <c r="Q62">
        <f t="shared" si="22"/>
        <v>744020</v>
      </c>
      <c r="R62" t="str">
        <f t="shared" ref="R62:R64" si="60">IF(MONTH(E56)&gt;=6, YEAR(E56) &amp; "-" &amp; YEAR(E56)+1, YEAR(E56)-1 &amp; "-" &amp; YEAR(E56))</f>
        <v>2022-2023</v>
      </c>
    </row>
    <row r="63" spans="1:18" x14ac:dyDescent="0.25">
      <c r="A63" t="s">
        <v>172</v>
      </c>
      <c r="B63" t="s">
        <v>173</v>
      </c>
      <c r="C63" t="s">
        <v>32</v>
      </c>
      <c r="D63" t="s">
        <v>65</v>
      </c>
      <c r="E63" t="s">
        <v>174</v>
      </c>
      <c r="F63" t="s">
        <v>5</v>
      </c>
      <c r="G63">
        <v>4274</v>
      </c>
      <c r="H63">
        <v>2777</v>
      </c>
      <c r="I63">
        <v>3.53</v>
      </c>
      <c r="J63">
        <v>22</v>
      </c>
      <c r="K63">
        <f t="shared" ca="1" si="55"/>
        <v>711</v>
      </c>
      <c r="M63">
        <f t="shared" ca="1" si="56"/>
        <v>711</v>
      </c>
      <c r="N63" t="str">
        <f t="shared" si="57"/>
        <v>Average</v>
      </c>
      <c r="O63" t="e">
        <f t="shared" si="58"/>
        <v>#N/A</v>
      </c>
      <c r="P63" t="str">
        <f t="shared" si="59"/>
        <v>YES</v>
      </c>
      <c r="Q63">
        <f t="shared" si="22"/>
        <v>744020</v>
      </c>
      <c r="R63" t="str">
        <f t="shared" si="60"/>
        <v>2024-2025</v>
      </c>
    </row>
    <row r="64" spans="1:18" x14ac:dyDescent="0.25">
      <c r="A64" t="s">
        <v>175</v>
      </c>
      <c r="B64" t="s">
        <v>176</v>
      </c>
      <c r="C64" t="s">
        <v>17</v>
      </c>
      <c r="D64" t="s">
        <v>65</v>
      </c>
      <c r="E64" t="s">
        <v>177</v>
      </c>
      <c r="F64" t="s">
        <v>5</v>
      </c>
      <c r="G64">
        <v>14423</v>
      </c>
      <c r="H64">
        <v>883</v>
      </c>
      <c r="I64">
        <v>2.12</v>
      </c>
      <c r="J64">
        <v>84</v>
      </c>
      <c r="K64">
        <f t="shared" ca="1" si="55"/>
        <v>1231</v>
      </c>
      <c r="M64">
        <f t="shared" ca="1" si="56"/>
        <v>1231</v>
      </c>
      <c r="N64" t="str">
        <f t="shared" si="57"/>
        <v>Average</v>
      </c>
      <c r="O64" t="e">
        <f t="shared" si="58"/>
        <v>#N/A</v>
      </c>
      <c r="P64" t="str">
        <f t="shared" si="59"/>
        <v>NO</v>
      </c>
      <c r="Q64">
        <f t="shared" si="22"/>
        <v>744020</v>
      </c>
      <c r="R64" t="str">
        <f t="shared" si="60"/>
        <v>2022-2023</v>
      </c>
    </row>
    <row r="65" spans="1:18" hidden="1" x14ac:dyDescent="0.25">
      <c r="A65" t="s">
        <v>178</v>
      </c>
      <c r="B65" t="s">
        <v>179</v>
      </c>
      <c r="C65" t="s">
        <v>2</v>
      </c>
      <c r="D65" t="s">
        <v>9</v>
      </c>
      <c r="E65" t="s">
        <v>180</v>
      </c>
      <c r="F65" t="s">
        <v>11</v>
      </c>
      <c r="G65">
        <v>5263</v>
      </c>
      <c r="H65">
        <v>8683</v>
      </c>
      <c r="I65">
        <v>2.31</v>
      </c>
      <c r="J65">
        <v>45</v>
      </c>
      <c r="Q65">
        <f t="shared" si="22"/>
        <v>744020</v>
      </c>
    </row>
    <row r="66" spans="1:18" x14ac:dyDescent="0.25">
      <c r="A66" t="s">
        <v>181</v>
      </c>
      <c r="B66" t="s">
        <v>182</v>
      </c>
      <c r="C66" t="s">
        <v>14</v>
      </c>
      <c r="D66" t="s">
        <v>9</v>
      </c>
      <c r="E66" t="s">
        <v>183</v>
      </c>
      <c r="F66" t="s">
        <v>5</v>
      </c>
      <c r="G66">
        <v>11418</v>
      </c>
      <c r="H66">
        <v>7383</v>
      </c>
      <c r="I66">
        <v>2.23</v>
      </c>
      <c r="J66">
        <v>98</v>
      </c>
      <c r="K66">
        <f t="shared" ref="K66:K74" ca="1" si="61">IF(F66="Enrolled", TODAY()-E66, "")</f>
        <v>1083</v>
      </c>
      <c r="M66">
        <f t="shared" ref="M66:M74" ca="1" si="62">IF(F66="Enrolled",TODAY() - E66,"")</f>
        <v>1083</v>
      </c>
      <c r="N66" t="str">
        <f t="shared" ref="N66:N74" si="63">IF(I68&gt;=3.5,"Excellent",IF(I68&gt;=3,"Good",IF(I68&gt;=2,"Average","Poor")))</f>
        <v>Excellent</v>
      </c>
      <c r="O66" t="e">
        <f t="shared" ref="O66:O74" si="64">VLOOKUP(D66, $T$18:$U$23, 2, FALSE)</f>
        <v>#N/A</v>
      </c>
      <c r="P66" t="str">
        <f t="shared" ref="P66:P74" si="65">IF(H66 &gt; 0.5 * G66, "YES", "NO")</f>
        <v>YES</v>
      </c>
      <c r="Q66">
        <f t="shared" si="22"/>
        <v>738757</v>
      </c>
      <c r="R66" t="str">
        <f t="shared" ref="R66:R74" si="66">IF(MONTH(E60)&gt;=6, YEAR(E60) &amp; "-" &amp; YEAR(E60)+1, YEAR(E60)-1 &amp; "-" &amp; YEAR(E60))</f>
        <v>2023-2024</v>
      </c>
    </row>
    <row r="67" spans="1:18" x14ac:dyDescent="0.25">
      <c r="A67" t="s">
        <v>184</v>
      </c>
      <c r="B67" t="s">
        <v>185</v>
      </c>
      <c r="C67" t="s">
        <v>8</v>
      </c>
      <c r="D67" t="s">
        <v>65</v>
      </c>
      <c r="E67" t="s">
        <v>186</v>
      </c>
      <c r="F67" t="s">
        <v>5</v>
      </c>
      <c r="G67">
        <v>12257</v>
      </c>
      <c r="H67">
        <v>1265</v>
      </c>
      <c r="I67">
        <v>2.67</v>
      </c>
      <c r="J67">
        <v>77</v>
      </c>
      <c r="K67">
        <f t="shared" ca="1" si="61"/>
        <v>865</v>
      </c>
      <c r="M67">
        <f t="shared" ca="1" si="62"/>
        <v>865</v>
      </c>
      <c r="N67" t="str">
        <f t="shared" si="63"/>
        <v>Excellent</v>
      </c>
      <c r="O67" t="e">
        <f t="shared" si="64"/>
        <v>#N/A</v>
      </c>
      <c r="P67" t="str">
        <f t="shared" si="65"/>
        <v>NO</v>
      </c>
      <c r="Q67">
        <f t="shared" si="22"/>
        <v>738757</v>
      </c>
      <c r="R67" t="str">
        <f t="shared" si="66"/>
        <v>2022-2023</v>
      </c>
    </row>
    <row r="68" spans="1:18" x14ac:dyDescent="0.25">
      <c r="A68" t="s">
        <v>187</v>
      </c>
      <c r="B68" t="s">
        <v>188</v>
      </c>
      <c r="C68" t="s">
        <v>21</v>
      </c>
      <c r="D68" t="s">
        <v>25</v>
      </c>
      <c r="E68" t="s">
        <v>189</v>
      </c>
      <c r="F68" t="s">
        <v>5</v>
      </c>
      <c r="G68">
        <v>11963</v>
      </c>
      <c r="H68">
        <v>6042</v>
      </c>
      <c r="I68">
        <v>3.93</v>
      </c>
      <c r="J68">
        <v>15</v>
      </c>
      <c r="K68">
        <f t="shared" ca="1" si="61"/>
        <v>906</v>
      </c>
      <c r="M68">
        <f t="shared" ca="1" si="62"/>
        <v>906</v>
      </c>
      <c r="N68" t="str">
        <f t="shared" si="63"/>
        <v>Excellent</v>
      </c>
      <c r="O68" t="e">
        <f t="shared" si="64"/>
        <v>#N/A</v>
      </c>
      <c r="P68" t="str">
        <f t="shared" si="65"/>
        <v>YES</v>
      </c>
      <c r="Q68">
        <f t="shared" si="22"/>
        <v>738757</v>
      </c>
      <c r="R68" t="str">
        <f t="shared" si="66"/>
        <v>2021-2022</v>
      </c>
    </row>
    <row r="69" spans="1:18" x14ac:dyDescent="0.25">
      <c r="A69" t="s">
        <v>190</v>
      </c>
      <c r="B69" t="s">
        <v>191</v>
      </c>
      <c r="C69" t="s">
        <v>21</v>
      </c>
      <c r="D69" t="s">
        <v>25</v>
      </c>
      <c r="E69" t="s">
        <v>192</v>
      </c>
      <c r="F69" t="s">
        <v>5</v>
      </c>
      <c r="G69">
        <v>14287</v>
      </c>
      <c r="H69">
        <v>7031</v>
      </c>
      <c r="I69">
        <v>3.57</v>
      </c>
      <c r="J69">
        <v>47</v>
      </c>
      <c r="K69">
        <f t="shared" ca="1" si="61"/>
        <v>782</v>
      </c>
      <c r="M69">
        <f t="shared" ca="1" si="62"/>
        <v>782</v>
      </c>
      <c r="N69" t="str">
        <f t="shared" si="63"/>
        <v>Good</v>
      </c>
      <c r="O69" t="e">
        <f t="shared" si="64"/>
        <v>#N/A</v>
      </c>
      <c r="P69" t="str">
        <f t="shared" si="65"/>
        <v>NO</v>
      </c>
      <c r="Q69">
        <f t="shared" ref="Q69:Q132" si="67">SUMIFS(G69:G1267, F69:F1267, "Completed", D69:D1267, "Science")</f>
        <v>738757</v>
      </c>
      <c r="R69" t="str">
        <f t="shared" si="66"/>
        <v>2023-2024</v>
      </c>
    </row>
    <row r="70" spans="1:18" x14ac:dyDescent="0.25">
      <c r="A70" t="s">
        <v>193</v>
      </c>
      <c r="B70" t="s">
        <v>194</v>
      </c>
      <c r="C70" t="s">
        <v>14</v>
      </c>
      <c r="D70" t="s">
        <v>9</v>
      </c>
      <c r="E70" t="s">
        <v>195</v>
      </c>
      <c r="F70" t="s">
        <v>5</v>
      </c>
      <c r="G70">
        <v>13017</v>
      </c>
      <c r="H70">
        <v>5214</v>
      </c>
      <c r="I70">
        <v>3.64</v>
      </c>
      <c r="J70">
        <v>1</v>
      </c>
      <c r="K70">
        <f t="shared" ca="1" si="61"/>
        <v>870</v>
      </c>
      <c r="M70">
        <f t="shared" ca="1" si="62"/>
        <v>870</v>
      </c>
      <c r="N70" t="str">
        <f t="shared" si="63"/>
        <v>Excellent</v>
      </c>
      <c r="O70" t="e">
        <f t="shared" si="64"/>
        <v>#N/A</v>
      </c>
      <c r="P70" t="str">
        <f t="shared" si="65"/>
        <v>NO</v>
      </c>
      <c r="Q70">
        <f t="shared" si="67"/>
        <v>738757</v>
      </c>
      <c r="R70" t="str">
        <f t="shared" si="66"/>
        <v>2022-2023</v>
      </c>
    </row>
    <row r="71" spans="1:18" x14ac:dyDescent="0.25">
      <c r="A71" t="s">
        <v>196</v>
      </c>
      <c r="B71" t="s">
        <v>197</v>
      </c>
      <c r="C71" t="s">
        <v>32</v>
      </c>
      <c r="D71" t="s">
        <v>3</v>
      </c>
      <c r="E71" t="s">
        <v>198</v>
      </c>
      <c r="F71" t="s">
        <v>5</v>
      </c>
      <c r="G71">
        <v>5312</v>
      </c>
      <c r="H71">
        <v>9048</v>
      </c>
      <c r="I71">
        <v>3.35</v>
      </c>
      <c r="J71">
        <v>66</v>
      </c>
      <c r="K71">
        <f t="shared" ca="1" si="61"/>
        <v>1109</v>
      </c>
      <c r="M71">
        <f t="shared" ca="1" si="62"/>
        <v>1109</v>
      </c>
      <c r="N71" t="str">
        <f t="shared" si="63"/>
        <v>Average</v>
      </c>
      <c r="O71" t="e">
        <f t="shared" si="64"/>
        <v>#N/A</v>
      </c>
      <c r="P71" t="str">
        <f t="shared" si="65"/>
        <v>YES</v>
      </c>
      <c r="Q71">
        <f t="shared" si="67"/>
        <v>738757</v>
      </c>
      <c r="R71" t="str">
        <f t="shared" si="66"/>
        <v>2022-2023</v>
      </c>
    </row>
    <row r="72" spans="1:18" x14ac:dyDescent="0.25">
      <c r="A72" t="s">
        <v>199</v>
      </c>
      <c r="B72" t="s">
        <v>200</v>
      </c>
      <c r="C72" t="s">
        <v>8</v>
      </c>
      <c r="D72" t="s">
        <v>65</v>
      </c>
      <c r="E72" t="s">
        <v>201</v>
      </c>
      <c r="F72" t="s">
        <v>5</v>
      </c>
      <c r="G72">
        <v>3888</v>
      </c>
      <c r="H72">
        <v>3552</v>
      </c>
      <c r="I72">
        <v>3.89</v>
      </c>
      <c r="J72">
        <v>104</v>
      </c>
      <c r="K72">
        <f t="shared" ca="1" si="61"/>
        <v>811</v>
      </c>
      <c r="M72">
        <f t="shared" ca="1" si="62"/>
        <v>811</v>
      </c>
      <c r="N72" t="str">
        <f t="shared" si="63"/>
        <v>Average</v>
      </c>
      <c r="O72" t="e">
        <f t="shared" si="64"/>
        <v>#N/A</v>
      </c>
      <c r="P72" t="str">
        <f t="shared" si="65"/>
        <v>YES</v>
      </c>
      <c r="Q72">
        <f t="shared" si="67"/>
        <v>738757</v>
      </c>
      <c r="R72" t="str">
        <f t="shared" si="66"/>
        <v>2022-2023</v>
      </c>
    </row>
    <row r="73" spans="1:18" x14ac:dyDescent="0.25">
      <c r="A73" t="s">
        <v>202</v>
      </c>
      <c r="B73" t="s">
        <v>203</v>
      </c>
      <c r="C73" t="s">
        <v>8</v>
      </c>
      <c r="D73" t="s">
        <v>9</v>
      </c>
      <c r="E73" s="1">
        <v>44744</v>
      </c>
      <c r="F73" t="s">
        <v>5</v>
      </c>
      <c r="G73">
        <v>5609</v>
      </c>
      <c r="H73">
        <v>3376</v>
      </c>
      <c r="I73">
        <v>2.75</v>
      </c>
      <c r="J73">
        <v>105</v>
      </c>
      <c r="K73">
        <f t="shared" ca="1" si="61"/>
        <v>1223</v>
      </c>
      <c r="M73">
        <f t="shared" ca="1" si="62"/>
        <v>1223</v>
      </c>
      <c r="N73" t="str">
        <f t="shared" si="63"/>
        <v>Average</v>
      </c>
      <c r="O73" t="e">
        <f t="shared" si="64"/>
        <v>#N/A</v>
      </c>
      <c r="P73" t="str">
        <f t="shared" si="65"/>
        <v>YES</v>
      </c>
      <c r="Q73">
        <f t="shared" si="67"/>
        <v>738757</v>
      </c>
      <c r="R73" t="str">
        <f t="shared" si="66"/>
        <v>2023-2024</v>
      </c>
    </row>
    <row r="74" spans="1:18" x14ac:dyDescent="0.25">
      <c r="A74" t="s">
        <v>204</v>
      </c>
      <c r="B74" t="s">
        <v>205</v>
      </c>
      <c r="C74" t="s">
        <v>21</v>
      </c>
      <c r="D74" t="s">
        <v>9</v>
      </c>
      <c r="E74" t="s">
        <v>206</v>
      </c>
      <c r="F74" t="s">
        <v>5</v>
      </c>
      <c r="G74">
        <v>12778</v>
      </c>
      <c r="H74">
        <v>4343</v>
      </c>
      <c r="I74">
        <v>2.79</v>
      </c>
      <c r="J74">
        <v>109</v>
      </c>
      <c r="K74">
        <f t="shared" ca="1" si="61"/>
        <v>1295</v>
      </c>
      <c r="M74">
        <f t="shared" ca="1" si="62"/>
        <v>1295</v>
      </c>
      <c r="N74" t="str">
        <f t="shared" si="63"/>
        <v>Good</v>
      </c>
      <c r="O74" t="e">
        <f t="shared" si="64"/>
        <v>#N/A</v>
      </c>
      <c r="P74" t="str">
        <f t="shared" si="65"/>
        <v>NO</v>
      </c>
      <c r="Q74">
        <f t="shared" si="67"/>
        <v>738757</v>
      </c>
      <c r="R74" t="str">
        <f t="shared" si="66"/>
        <v>2022-2023</v>
      </c>
    </row>
    <row r="75" spans="1:18" hidden="1" x14ac:dyDescent="0.25">
      <c r="A75" t="s">
        <v>207</v>
      </c>
      <c r="B75" t="s">
        <v>208</v>
      </c>
      <c r="C75" t="s">
        <v>32</v>
      </c>
      <c r="D75" t="s">
        <v>3</v>
      </c>
      <c r="E75" s="1">
        <v>45118</v>
      </c>
      <c r="F75" t="s">
        <v>11</v>
      </c>
      <c r="G75">
        <v>13270</v>
      </c>
      <c r="H75">
        <v>5520</v>
      </c>
      <c r="I75">
        <v>2.12</v>
      </c>
      <c r="J75">
        <v>111</v>
      </c>
      <c r="Q75">
        <f t="shared" si="67"/>
        <v>738757</v>
      </c>
    </row>
    <row r="76" spans="1:18" x14ac:dyDescent="0.25">
      <c r="A76" t="s">
        <v>209</v>
      </c>
      <c r="B76" t="s">
        <v>210</v>
      </c>
      <c r="C76" t="s">
        <v>17</v>
      </c>
      <c r="D76" t="s">
        <v>9</v>
      </c>
      <c r="E76" s="1">
        <v>44627</v>
      </c>
      <c r="F76" t="s">
        <v>5</v>
      </c>
      <c r="G76">
        <v>13617</v>
      </c>
      <c r="H76">
        <v>7511</v>
      </c>
      <c r="I76">
        <v>3.37</v>
      </c>
      <c r="J76">
        <v>72</v>
      </c>
      <c r="K76">
        <f t="shared" ref="K76" ca="1" si="68">IF(F76="Enrolled", TODAY()-E76, "")</f>
        <v>1340</v>
      </c>
      <c r="M76">
        <f ca="1">IF(F76="Enrolled",TODAY() - E76,"")</f>
        <v>1340</v>
      </c>
      <c r="N76" t="str">
        <f>IF(I78&gt;=3.5,"Excellent",IF(I78&gt;=3,"Good",IF(I78&gt;=2,"Average","Poor")))</f>
        <v>Excellent</v>
      </c>
      <c r="O76" t="e">
        <f>VLOOKUP(D76, $T$18:$U$23, 2, FALSE)</f>
        <v>#N/A</v>
      </c>
      <c r="P76" t="str">
        <f t="shared" ref="P76" si="69">IF(H76 &gt; 0.5 * G76, "YES", "NO")</f>
        <v>YES</v>
      </c>
      <c r="Q76">
        <f t="shared" si="67"/>
        <v>738757</v>
      </c>
      <c r="R76" t="str">
        <f>IF(MONTH(E70)&gt;=6, YEAR(E70) &amp; "-" &amp; YEAR(E70)+1, YEAR(E70)-1 &amp; "-" &amp; YEAR(E70))</f>
        <v>2023-2024</v>
      </c>
    </row>
    <row r="77" spans="1:18" hidden="1" x14ac:dyDescent="0.25">
      <c r="A77" t="s">
        <v>211</v>
      </c>
      <c r="B77" t="s">
        <v>212</v>
      </c>
      <c r="C77" t="s">
        <v>14</v>
      </c>
      <c r="D77" t="s">
        <v>25</v>
      </c>
      <c r="E77" s="1">
        <v>44780</v>
      </c>
      <c r="F77" t="s">
        <v>36</v>
      </c>
      <c r="G77">
        <v>5155</v>
      </c>
      <c r="H77">
        <v>596</v>
      </c>
      <c r="I77">
        <v>3.34</v>
      </c>
      <c r="J77">
        <v>18</v>
      </c>
      <c r="Q77">
        <f t="shared" si="67"/>
        <v>738757</v>
      </c>
    </row>
    <row r="78" spans="1:18" x14ac:dyDescent="0.25">
      <c r="A78" t="s">
        <v>213</v>
      </c>
      <c r="B78" t="s">
        <v>214</v>
      </c>
      <c r="C78" t="s">
        <v>8</v>
      </c>
      <c r="D78" t="s">
        <v>65</v>
      </c>
      <c r="E78" s="1">
        <v>44573</v>
      </c>
      <c r="F78" t="s">
        <v>5</v>
      </c>
      <c r="G78">
        <v>14298</v>
      </c>
      <c r="H78">
        <v>5064</v>
      </c>
      <c r="I78">
        <v>3.83</v>
      </c>
      <c r="J78">
        <v>17</v>
      </c>
      <c r="K78">
        <f t="shared" ref="K78:K82" ca="1" si="70">IF(F78="Enrolled", TODAY()-E78, "")</f>
        <v>1394</v>
      </c>
      <c r="M78">
        <f t="shared" ref="M78:M82" ca="1" si="71">IF(F78="Enrolled",TODAY() - E78,"")</f>
        <v>1394</v>
      </c>
      <c r="N78" t="str">
        <f t="shared" ref="N78:N82" si="72">IF(I80&gt;=3.5,"Excellent",IF(I80&gt;=3,"Good",IF(I80&gt;=2,"Average","Poor")))</f>
        <v>Average</v>
      </c>
      <c r="O78" t="e">
        <f t="shared" ref="O78:O82" si="73">VLOOKUP(D78, $T$18:$U$23, 2, FALSE)</f>
        <v>#N/A</v>
      </c>
      <c r="P78" t="str">
        <f t="shared" ref="P78:P82" si="74">IF(H78 &gt; 0.5 * G78, "YES", "NO")</f>
        <v>NO</v>
      </c>
      <c r="Q78">
        <f t="shared" si="67"/>
        <v>738757</v>
      </c>
      <c r="R78" t="str">
        <f t="shared" ref="R78:R82" si="75">IF(MONTH(E72)&gt;=6, YEAR(E72) &amp; "-" &amp; YEAR(E72)+1, YEAR(E72)-1 &amp; "-" &amp; YEAR(E72))</f>
        <v>2023-2024</v>
      </c>
    </row>
    <row r="79" spans="1:18" x14ac:dyDescent="0.25">
      <c r="A79" t="s">
        <v>215</v>
      </c>
      <c r="B79" t="s">
        <v>216</v>
      </c>
      <c r="C79" t="s">
        <v>8</v>
      </c>
      <c r="D79" t="s">
        <v>3</v>
      </c>
      <c r="E79" s="1">
        <v>45265</v>
      </c>
      <c r="F79" t="s">
        <v>5</v>
      </c>
      <c r="G79">
        <v>4932</v>
      </c>
      <c r="H79">
        <v>9149</v>
      </c>
      <c r="I79">
        <v>2.38</v>
      </c>
      <c r="J79">
        <v>32</v>
      </c>
      <c r="K79">
        <f t="shared" ca="1" si="70"/>
        <v>702</v>
      </c>
      <c r="M79">
        <f t="shared" ca="1" si="71"/>
        <v>702</v>
      </c>
      <c r="N79" t="str">
        <f t="shared" si="72"/>
        <v>Average</v>
      </c>
      <c r="O79" t="e">
        <f t="shared" si="73"/>
        <v>#N/A</v>
      </c>
      <c r="P79" t="str">
        <f t="shared" si="74"/>
        <v>YES</v>
      </c>
      <c r="Q79">
        <f t="shared" si="67"/>
        <v>738757</v>
      </c>
      <c r="R79" t="str">
        <f t="shared" si="75"/>
        <v>2022-2023</v>
      </c>
    </row>
    <row r="80" spans="1:18" x14ac:dyDescent="0.25">
      <c r="A80" t="s">
        <v>217</v>
      </c>
      <c r="B80" t="s">
        <v>218</v>
      </c>
      <c r="C80" t="s">
        <v>55</v>
      </c>
      <c r="D80" t="s">
        <v>9</v>
      </c>
      <c r="E80" t="s">
        <v>219</v>
      </c>
      <c r="F80" t="s">
        <v>5</v>
      </c>
      <c r="G80">
        <v>14685</v>
      </c>
      <c r="H80">
        <v>9078</v>
      </c>
      <c r="I80">
        <v>2.02</v>
      </c>
      <c r="J80">
        <v>27</v>
      </c>
      <c r="K80">
        <f t="shared" ca="1" si="70"/>
        <v>680</v>
      </c>
      <c r="M80">
        <f t="shared" ca="1" si="71"/>
        <v>680</v>
      </c>
      <c r="N80" t="str">
        <f t="shared" si="72"/>
        <v>Excellent</v>
      </c>
      <c r="O80" t="e">
        <f t="shared" si="73"/>
        <v>#N/A</v>
      </c>
      <c r="P80" t="str">
        <f t="shared" si="74"/>
        <v>YES</v>
      </c>
      <c r="Q80">
        <f t="shared" si="67"/>
        <v>738757</v>
      </c>
      <c r="R80" t="str">
        <f t="shared" si="75"/>
        <v>2021-2022</v>
      </c>
    </row>
    <row r="81" spans="1:18" x14ac:dyDescent="0.25">
      <c r="A81" t="s">
        <v>220</v>
      </c>
      <c r="B81" t="s">
        <v>221</v>
      </c>
      <c r="C81" t="s">
        <v>14</v>
      </c>
      <c r="D81" t="s">
        <v>3</v>
      </c>
      <c r="E81" t="s">
        <v>222</v>
      </c>
      <c r="F81" t="s">
        <v>5</v>
      </c>
      <c r="G81">
        <v>4021</v>
      </c>
      <c r="H81">
        <v>9984</v>
      </c>
      <c r="I81">
        <v>2.65</v>
      </c>
      <c r="J81">
        <v>55</v>
      </c>
      <c r="K81">
        <f t="shared" ca="1" si="70"/>
        <v>529</v>
      </c>
      <c r="M81">
        <f t="shared" ca="1" si="71"/>
        <v>529</v>
      </c>
      <c r="N81" t="str">
        <f t="shared" si="72"/>
        <v>Excellent</v>
      </c>
      <c r="O81" t="e">
        <f t="shared" si="73"/>
        <v>#N/A</v>
      </c>
      <c r="P81" t="str">
        <f t="shared" si="74"/>
        <v>YES</v>
      </c>
      <c r="Q81">
        <f t="shared" si="67"/>
        <v>738757</v>
      </c>
      <c r="R81" t="str">
        <f t="shared" si="75"/>
        <v>2023-2024</v>
      </c>
    </row>
    <row r="82" spans="1:18" x14ac:dyDescent="0.25">
      <c r="A82" t="s">
        <v>223</v>
      </c>
      <c r="B82" t="s">
        <v>224</v>
      </c>
      <c r="C82" t="s">
        <v>14</v>
      </c>
      <c r="D82" t="s">
        <v>25</v>
      </c>
      <c r="E82" s="1">
        <v>44994</v>
      </c>
      <c r="F82" t="s">
        <v>5</v>
      </c>
      <c r="G82">
        <v>14754</v>
      </c>
      <c r="H82">
        <v>8580</v>
      </c>
      <c r="I82">
        <v>3.89</v>
      </c>
      <c r="J82">
        <v>68</v>
      </c>
      <c r="K82">
        <f t="shared" ca="1" si="70"/>
        <v>973</v>
      </c>
      <c r="M82">
        <f t="shared" ca="1" si="71"/>
        <v>973</v>
      </c>
      <c r="N82" t="str">
        <f t="shared" si="72"/>
        <v>Excellent</v>
      </c>
      <c r="O82" t="e">
        <f t="shared" si="73"/>
        <v>#N/A</v>
      </c>
      <c r="P82" t="str">
        <f t="shared" si="74"/>
        <v>YES</v>
      </c>
      <c r="Q82">
        <f t="shared" si="67"/>
        <v>738757</v>
      </c>
      <c r="R82" t="str">
        <f t="shared" si="75"/>
        <v>2021-2022</v>
      </c>
    </row>
    <row r="83" spans="1:18" hidden="1" x14ac:dyDescent="0.25">
      <c r="A83" t="s">
        <v>225</v>
      </c>
      <c r="B83" t="s">
        <v>226</v>
      </c>
      <c r="C83" t="s">
        <v>58</v>
      </c>
      <c r="D83" t="s">
        <v>65</v>
      </c>
      <c r="E83" t="s">
        <v>227</v>
      </c>
      <c r="F83" t="s">
        <v>36</v>
      </c>
      <c r="G83">
        <v>7359</v>
      </c>
      <c r="H83">
        <v>9908</v>
      </c>
      <c r="I83">
        <v>3.53</v>
      </c>
      <c r="J83">
        <v>35</v>
      </c>
      <c r="Q83">
        <f t="shared" si="67"/>
        <v>738757</v>
      </c>
    </row>
    <row r="84" spans="1:18" x14ac:dyDescent="0.25">
      <c r="A84" t="s">
        <v>228</v>
      </c>
      <c r="B84" t="s">
        <v>229</v>
      </c>
      <c r="C84" t="s">
        <v>32</v>
      </c>
      <c r="D84" t="s">
        <v>65</v>
      </c>
      <c r="E84" s="1">
        <v>44596</v>
      </c>
      <c r="F84" t="s">
        <v>5</v>
      </c>
      <c r="G84">
        <v>9833</v>
      </c>
      <c r="H84">
        <v>1595</v>
      </c>
      <c r="I84">
        <v>3.64</v>
      </c>
      <c r="J84">
        <v>28</v>
      </c>
      <c r="K84">
        <f t="shared" ref="K84" ca="1" si="76">IF(F84="Enrolled", TODAY()-E84, "")</f>
        <v>1371</v>
      </c>
      <c r="M84">
        <f ca="1">IF(F84="Enrolled",TODAY() - E84,"")</f>
        <v>1371</v>
      </c>
      <c r="N84" t="str">
        <f>IF(I86&gt;=3.5,"Excellent",IF(I86&gt;=3,"Good",IF(I86&gt;=2,"Average","Poor")))</f>
        <v>Excellent</v>
      </c>
      <c r="O84" t="e">
        <f>VLOOKUP(D84, $T$18:$U$23, 2, FALSE)</f>
        <v>#N/A</v>
      </c>
      <c r="P84" t="str">
        <f t="shared" ref="P84" si="77">IF(H84 &gt; 0.5 * G84, "YES", "NO")</f>
        <v>NO</v>
      </c>
      <c r="Q84">
        <f t="shared" si="67"/>
        <v>738757</v>
      </c>
      <c r="R84" t="str">
        <f>IF(MONTH(E78)&gt;=6, YEAR(E78) &amp; "-" &amp; YEAR(E78)+1, YEAR(E78)-1 &amp; "-" &amp; YEAR(E78))</f>
        <v>2021-2022</v>
      </c>
    </row>
    <row r="85" spans="1:18" hidden="1" x14ac:dyDescent="0.25">
      <c r="A85" t="s">
        <v>230</v>
      </c>
      <c r="B85" t="s">
        <v>231</v>
      </c>
      <c r="C85" t="s">
        <v>17</v>
      </c>
      <c r="D85" t="s">
        <v>25</v>
      </c>
      <c r="E85" t="s">
        <v>232</v>
      </c>
      <c r="F85" t="s">
        <v>11</v>
      </c>
      <c r="G85">
        <v>9039</v>
      </c>
      <c r="H85">
        <v>6799</v>
      </c>
      <c r="I85">
        <v>2.57</v>
      </c>
      <c r="J85">
        <v>74</v>
      </c>
      <c r="Q85">
        <f t="shared" si="67"/>
        <v>738757</v>
      </c>
    </row>
    <row r="86" spans="1:18" hidden="1" x14ac:dyDescent="0.25">
      <c r="A86" t="s">
        <v>233</v>
      </c>
      <c r="B86" t="s">
        <v>234</v>
      </c>
      <c r="C86" t="s">
        <v>17</v>
      </c>
      <c r="D86" t="s">
        <v>3</v>
      </c>
      <c r="E86" s="1">
        <v>44745</v>
      </c>
      <c r="F86" t="s">
        <v>11</v>
      </c>
      <c r="G86">
        <v>7072</v>
      </c>
      <c r="H86">
        <v>3108</v>
      </c>
      <c r="I86">
        <v>3.66</v>
      </c>
      <c r="J86">
        <v>82</v>
      </c>
      <c r="Q86">
        <f t="shared" si="67"/>
        <v>738757</v>
      </c>
    </row>
    <row r="87" spans="1:18" x14ac:dyDescent="0.25">
      <c r="A87" t="s">
        <v>235</v>
      </c>
      <c r="B87" t="s">
        <v>236</v>
      </c>
      <c r="C87" t="s">
        <v>32</v>
      </c>
      <c r="D87" t="s">
        <v>25</v>
      </c>
      <c r="E87" t="s">
        <v>237</v>
      </c>
      <c r="F87" t="s">
        <v>5</v>
      </c>
      <c r="G87">
        <v>14564</v>
      </c>
      <c r="H87">
        <v>9872</v>
      </c>
      <c r="I87">
        <v>2.64</v>
      </c>
      <c r="J87">
        <v>81</v>
      </c>
      <c r="K87">
        <f t="shared" ref="K87:K90" ca="1" si="78">IF(F87="Enrolled", TODAY()-E87, "")</f>
        <v>1073</v>
      </c>
      <c r="M87">
        <f t="shared" ref="M87:M90" ca="1" si="79">IF(F87="Enrolled",TODAY() - E87,"")</f>
        <v>1073</v>
      </c>
      <c r="N87" t="str">
        <f t="shared" ref="N87:N90" si="80">IF(I89&gt;=3.5,"Excellent",IF(I89&gt;=3,"Good",IF(I89&gt;=2,"Average","Poor")))</f>
        <v>Average</v>
      </c>
      <c r="O87" t="e">
        <f t="shared" ref="O87:O90" si="81">VLOOKUP(D87, $T$18:$U$23, 2, FALSE)</f>
        <v>#N/A</v>
      </c>
      <c r="P87" t="str">
        <f t="shared" ref="P87:P90" si="82">IF(H87 &gt; 0.5 * G87, "YES", "NO")</f>
        <v>YES</v>
      </c>
      <c r="Q87">
        <f t="shared" si="67"/>
        <v>738757</v>
      </c>
      <c r="R87" t="str">
        <f t="shared" ref="R87:R90" si="83">IF(MONTH(E81)&gt;=6, YEAR(E81) &amp; "-" &amp; YEAR(E81)+1, YEAR(E81)-1 &amp; "-" &amp; YEAR(E81))</f>
        <v>2023-2024</v>
      </c>
    </row>
    <row r="88" spans="1:18" x14ac:dyDescent="0.25">
      <c r="A88" t="s">
        <v>238</v>
      </c>
      <c r="B88" t="s">
        <v>239</v>
      </c>
      <c r="C88" t="s">
        <v>55</v>
      </c>
      <c r="D88" t="s">
        <v>9</v>
      </c>
      <c r="E88" s="1">
        <v>44691</v>
      </c>
      <c r="F88" t="s">
        <v>5</v>
      </c>
      <c r="G88">
        <v>9580</v>
      </c>
      <c r="H88">
        <v>3701</v>
      </c>
      <c r="I88">
        <v>2.27</v>
      </c>
      <c r="J88">
        <v>14</v>
      </c>
      <c r="K88">
        <f t="shared" ca="1" si="78"/>
        <v>1276</v>
      </c>
      <c r="M88">
        <f t="shared" ca="1" si="79"/>
        <v>1276</v>
      </c>
      <c r="N88" t="str">
        <f t="shared" si="80"/>
        <v>Average</v>
      </c>
      <c r="O88" t="e">
        <f t="shared" si="81"/>
        <v>#N/A</v>
      </c>
      <c r="P88" t="str">
        <f t="shared" si="82"/>
        <v>NO</v>
      </c>
      <c r="Q88">
        <f t="shared" si="67"/>
        <v>738757</v>
      </c>
      <c r="R88" t="str">
        <f t="shared" si="83"/>
        <v>2022-2023</v>
      </c>
    </row>
    <row r="89" spans="1:18" x14ac:dyDescent="0.25">
      <c r="A89" t="s">
        <v>240</v>
      </c>
      <c r="B89" t="s">
        <v>241</v>
      </c>
      <c r="C89" t="s">
        <v>14</v>
      </c>
      <c r="D89" t="s">
        <v>65</v>
      </c>
      <c r="E89" t="s">
        <v>180</v>
      </c>
      <c r="F89" t="s">
        <v>5</v>
      </c>
      <c r="G89">
        <v>13295</v>
      </c>
      <c r="H89">
        <v>1841</v>
      </c>
      <c r="I89">
        <v>2.4</v>
      </c>
      <c r="J89">
        <v>41</v>
      </c>
      <c r="K89">
        <f t="shared" ca="1" si="78"/>
        <v>1166</v>
      </c>
      <c r="M89">
        <f t="shared" ca="1" si="79"/>
        <v>1166</v>
      </c>
      <c r="N89" t="str">
        <f t="shared" si="80"/>
        <v>Excellent</v>
      </c>
      <c r="O89" t="e">
        <f t="shared" si="81"/>
        <v>#N/A</v>
      </c>
      <c r="P89" t="str">
        <f t="shared" si="82"/>
        <v>NO</v>
      </c>
      <c r="Q89">
        <f t="shared" si="67"/>
        <v>738757</v>
      </c>
      <c r="R89" t="str">
        <f t="shared" si="83"/>
        <v>2022-2023</v>
      </c>
    </row>
    <row r="90" spans="1:18" x14ac:dyDescent="0.25">
      <c r="A90" t="s">
        <v>242</v>
      </c>
      <c r="B90" t="s">
        <v>243</v>
      </c>
      <c r="C90" t="s">
        <v>32</v>
      </c>
      <c r="D90" t="s">
        <v>3</v>
      </c>
      <c r="E90" t="s">
        <v>244</v>
      </c>
      <c r="F90" t="s">
        <v>5</v>
      </c>
      <c r="G90">
        <v>13755</v>
      </c>
      <c r="H90">
        <v>1211</v>
      </c>
      <c r="I90">
        <v>2.92</v>
      </c>
      <c r="J90">
        <v>95</v>
      </c>
      <c r="K90">
        <f t="shared" ca="1" si="78"/>
        <v>894</v>
      </c>
      <c r="M90">
        <f t="shared" ca="1" si="79"/>
        <v>894</v>
      </c>
      <c r="N90" t="str">
        <f t="shared" si="80"/>
        <v>Good</v>
      </c>
      <c r="O90" t="e">
        <f t="shared" si="81"/>
        <v>#N/A</v>
      </c>
      <c r="P90" t="str">
        <f t="shared" si="82"/>
        <v>NO</v>
      </c>
      <c r="Q90">
        <f t="shared" si="67"/>
        <v>738757</v>
      </c>
      <c r="R90" t="str">
        <f t="shared" si="83"/>
        <v>2021-2022</v>
      </c>
    </row>
    <row r="91" spans="1:18" hidden="1" x14ac:dyDescent="0.25">
      <c r="A91" t="s">
        <v>245</v>
      </c>
      <c r="B91" t="s">
        <v>246</v>
      </c>
      <c r="C91" t="s">
        <v>14</v>
      </c>
      <c r="D91" t="s">
        <v>65</v>
      </c>
      <c r="E91" t="s">
        <v>247</v>
      </c>
      <c r="F91" t="s">
        <v>11</v>
      </c>
      <c r="G91">
        <v>5803</v>
      </c>
      <c r="H91">
        <v>4278</v>
      </c>
      <c r="I91">
        <v>3.56</v>
      </c>
      <c r="J91">
        <v>54</v>
      </c>
      <c r="Q91">
        <f t="shared" si="67"/>
        <v>738757</v>
      </c>
    </row>
    <row r="92" spans="1:18" hidden="1" x14ac:dyDescent="0.25">
      <c r="A92" t="s">
        <v>248</v>
      </c>
      <c r="B92" t="s">
        <v>249</v>
      </c>
      <c r="C92" t="s">
        <v>17</v>
      </c>
      <c r="D92" t="s">
        <v>3</v>
      </c>
      <c r="E92" t="s">
        <v>250</v>
      </c>
      <c r="F92" t="s">
        <v>11</v>
      </c>
      <c r="G92">
        <v>4425</v>
      </c>
      <c r="H92">
        <v>3762</v>
      </c>
      <c r="I92">
        <v>3.25</v>
      </c>
      <c r="J92">
        <v>88</v>
      </c>
      <c r="Q92">
        <f t="shared" si="67"/>
        <v>738757</v>
      </c>
    </row>
    <row r="93" spans="1:18" x14ac:dyDescent="0.25">
      <c r="A93" t="s">
        <v>251</v>
      </c>
      <c r="B93" t="s">
        <v>252</v>
      </c>
      <c r="C93" t="s">
        <v>58</v>
      </c>
      <c r="D93" t="s">
        <v>25</v>
      </c>
      <c r="E93" t="s">
        <v>4</v>
      </c>
      <c r="F93" t="s">
        <v>5</v>
      </c>
      <c r="G93">
        <v>10595</v>
      </c>
      <c r="H93">
        <v>583</v>
      </c>
      <c r="I93">
        <v>2.06</v>
      </c>
      <c r="J93">
        <v>53</v>
      </c>
      <c r="K93">
        <f t="shared" ref="K93:K95" ca="1" si="84">IF(F93="Enrolled", TODAY()-E93, "")</f>
        <v>954</v>
      </c>
      <c r="M93">
        <f t="shared" ref="M93:M95" ca="1" si="85">IF(F93="Enrolled",TODAY() - E93,"")</f>
        <v>954</v>
      </c>
      <c r="N93" t="str">
        <f t="shared" ref="N93:N95" si="86">IF(I95&gt;=3.5,"Excellent",IF(I95&gt;=3,"Good",IF(I95&gt;=2,"Average","Poor")))</f>
        <v>Average</v>
      </c>
      <c r="O93" t="e">
        <f t="shared" ref="O93:O95" si="87">VLOOKUP(D93, $T$18:$U$23, 2, FALSE)</f>
        <v>#N/A</v>
      </c>
      <c r="P93" t="str">
        <f t="shared" ref="P93:P95" si="88">IF(H93 &gt; 0.5 * G93, "YES", "NO")</f>
        <v>NO</v>
      </c>
      <c r="Q93">
        <f t="shared" si="67"/>
        <v>738757</v>
      </c>
      <c r="R93" t="str">
        <f t="shared" ref="R93:R95" si="89">IF(MONTH(E87)&gt;=6, YEAR(E87) &amp; "-" &amp; YEAR(E87)+1, YEAR(E87)-1 &amp; "-" &amp; YEAR(E87))</f>
        <v>2022-2023</v>
      </c>
    </row>
    <row r="94" spans="1:18" x14ac:dyDescent="0.25">
      <c r="A94" t="s">
        <v>253</v>
      </c>
      <c r="B94" t="s">
        <v>254</v>
      </c>
      <c r="C94" t="s">
        <v>55</v>
      </c>
      <c r="D94" t="s">
        <v>65</v>
      </c>
      <c r="E94" s="1">
        <v>44906</v>
      </c>
      <c r="F94" t="s">
        <v>5</v>
      </c>
      <c r="G94">
        <v>4640</v>
      </c>
      <c r="H94">
        <v>9029</v>
      </c>
      <c r="I94">
        <v>2.2000000000000002</v>
      </c>
      <c r="J94">
        <v>49</v>
      </c>
      <c r="K94">
        <f t="shared" ca="1" si="84"/>
        <v>1061</v>
      </c>
      <c r="M94">
        <f t="shared" ca="1" si="85"/>
        <v>1061</v>
      </c>
      <c r="N94" t="str">
        <f t="shared" si="86"/>
        <v>Excellent</v>
      </c>
      <c r="O94" t="e">
        <f t="shared" si="87"/>
        <v>#N/A</v>
      </c>
      <c r="P94" t="str">
        <f t="shared" si="88"/>
        <v>YES</v>
      </c>
      <c r="Q94">
        <f t="shared" si="67"/>
        <v>738757</v>
      </c>
      <c r="R94" t="str">
        <f t="shared" si="89"/>
        <v>2021-2022</v>
      </c>
    </row>
    <row r="95" spans="1:18" x14ac:dyDescent="0.25">
      <c r="A95" t="s">
        <v>255</v>
      </c>
      <c r="B95" t="s">
        <v>256</v>
      </c>
      <c r="C95" t="s">
        <v>14</v>
      </c>
      <c r="D95" t="s">
        <v>9</v>
      </c>
      <c r="E95" s="1">
        <v>45139</v>
      </c>
      <c r="F95" t="s">
        <v>5</v>
      </c>
      <c r="G95">
        <v>10193</v>
      </c>
      <c r="H95">
        <v>2692</v>
      </c>
      <c r="I95">
        <v>2.72</v>
      </c>
      <c r="J95">
        <v>65</v>
      </c>
      <c r="K95">
        <f t="shared" ca="1" si="84"/>
        <v>828</v>
      </c>
      <c r="M95">
        <f t="shared" ca="1" si="85"/>
        <v>828</v>
      </c>
      <c r="N95" t="str">
        <f t="shared" si="86"/>
        <v>Good</v>
      </c>
      <c r="O95" t="e">
        <f t="shared" si="87"/>
        <v>#N/A</v>
      </c>
      <c r="P95" t="str">
        <f t="shared" si="88"/>
        <v>NO</v>
      </c>
      <c r="Q95">
        <f t="shared" si="67"/>
        <v>738757</v>
      </c>
      <c r="R95" t="str">
        <f t="shared" si="89"/>
        <v>2022-2023</v>
      </c>
    </row>
    <row r="96" spans="1:18" hidden="1" x14ac:dyDescent="0.25">
      <c r="A96" t="s">
        <v>257</v>
      </c>
      <c r="B96" t="s">
        <v>258</v>
      </c>
      <c r="C96" t="s">
        <v>17</v>
      </c>
      <c r="D96" t="s">
        <v>3</v>
      </c>
      <c r="E96" s="1">
        <v>45323</v>
      </c>
      <c r="F96" t="s">
        <v>11</v>
      </c>
      <c r="G96">
        <v>8635</v>
      </c>
      <c r="H96">
        <v>4086</v>
      </c>
      <c r="I96">
        <v>3.63</v>
      </c>
      <c r="J96">
        <v>15</v>
      </c>
      <c r="Q96">
        <f t="shared" si="67"/>
        <v>738757</v>
      </c>
    </row>
    <row r="97" spans="1:18" hidden="1" x14ac:dyDescent="0.25">
      <c r="A97" t="s">
        <v>259</v>
      </c>
      <c r="B97" t="s">
        <v>260</v>
      </c>
      <c r="C97" t="s">
        <v>32</v>
      </c>
      <c r="D97" t="s">
        <v>65</v>
      </c>
      <c r="E97" s="1">
        <v>44898</v>
      </c>
      <c r="F97" t="s">
        <v>11</v>
      </c>
      <c r="G97">
        <v>14890</v>
      </c>
      <c r="H97">
        <v>2674</v>
      </c>
      <c r="I97">
        <v>3.17</v>
      </c>
      <c r="J97">
        <v>93</v>
      </c>
      <c r="Q97">
        <f t="shared" si="67"/>
        <v>738757</v>
      </c>
    </row>
    <row r="98" spans="1:18" x14ac:dyDescent="0.25">
      <c r="A98" t="s">
        <v>261</v>
      </c>
      <c r="B98" t="s">
        <v>262</v>
      </c>
      <c r="C98" t="s">
        <v>8</v>
      </c>
      <c r="D98" t="s">
        <v>65</v>
      </c>
      <c r="E98" s="1">
        <v>44837</v>
      </c>
      <c r="F98" t="s">
        <v>5</v>
      </c>
      <c r="G98">
        <v>4942</v>
      </c>
      <c r="H98">
        <v>4382</v>
      </c>
      <c r="I98">
        <v>3.43</v>
      </c>
      <c r="J98">
        <v>39</v>
      </c>
      <c r="K98">
        <f t="shared" ref="K98:K101" ca="1" si="90">IF(F98="Enrolled", TODAY()-E98, "")</f>
        <v>1130</v>
      </c>
      <c r="M98">
        <f t="shared" ref="M98:M101" ca="1" si="91">IF(F98="Enrolled",TODAY() - E98,"")</f>
        <v>1130</v>
      </c>
      <c r="N98" t="str">
        <f t="shared" ref="N98:N101" si="92">IF(I100&gt;=3.5,"Excellent",IF(I100&gt;=3,"Good",IF(I100&gt;=2,"Average","Poor")))</f>
        <v>Good</v>
      </c>
      <c r="O98" t="e">
        <f t="shared" ref="O98:O101" si="93">VLOOKUP(D98, $T$18:$U$23, 2, FALSE)</f>
        <v>#N/A</v>
      </c>
      <c r="P98" t="str">
        <f t="shared" ref="P98:P101" si="94">IF(H98 &gt; 0.5 * G98, "YES", "NO")</f>
        <v>YES</v>
      </c>
      <c r="Q98">
        <f t="shared" si="67"/>
        <v>738757</v>
      </c>
      <c r="R98" t="str">
        <f t="shared" ref="R98:R101" si="95">IF(MONTH(E92)&gt;=6, YEAR(E92) &amp; "-" &amp; YEAR(E92)+1, YEAR(E92)-1 &amp; "-" &amp; YEAR(E92))</f>
        <v>2021-2022</v>
      </c>
    </row>
    <row r="99" spans="1:18" x14ac:dyDescent="0.25">
      <c r="A99" t="s">
        <v>263</v>
      </c>
      <c r="B99" t="s">
        <v>264</v>
      </c>
      <c r="C99" t="s">
        <v>21</v>
      </c>
      <c r="D99" t="s">
        <v>3</v>
      </c>
      <c r="E99" t="s">
        <v>265</v>
      </c>
      <c r="F99" t="s">
        <v>5</v>
      </c>
      <c r="G99">
        <v>12134</v>
      </c>
      <c r="H99">
        <v>838</v>
      </c>
      <c r="I99">
        <v>3.48</v>
      </c>
      <c r="J99">
        <v>20</v>
      </c>
      <c r="K99">
        <f t="shared" ca="1" si="90"/>
        <v>753</v>
      </c>
      <c r="M99">
        <f t="shared" ca="1" si="91"/>
        <v>753</v>
      </c>
      <c r="N99" t="str">
        <f t="shared" si="92"/>
        <v>Average</v>
      </c>
      <c r="O99" t="e">
        <f t="shared" si="93"/>
        <v>#N/A</v>
      </c>
      <c r="P99" t="str">
        <f t="shared" si="94"/>
        <v>NO</v>
      </c>
      <c r="Q99">
        <f t="shared" si="67"/>
        <v>738757</v>
      </c>
      <c r="R99" t="str">
        <f t="shared" si="95"/>
        <v>2022-2023</v>
      </c>
    </row>
    <row r="100" spans="1:18" x14ac:dyDescent="0.25">
      <c r="A100" t="s">
        <v>266</v>
      </c>
      <c r="B100" t="s">
        <v>267</v>
      </c>
      <c r="C100" t="s">
        <v>32</v>
      </c>
      <c r="D100" t="s">
        <v>3</v>
      </c>
      <c r="E100" s="1">
        <v>45200</v>
      </c>
      <c r="F100" t="s">
        <v>5</v>
      </c>
      <c r="G100">
        <v>5970</v>
      </c>
      <c r="H100">
        <v>5622</v>
      </c>
      <c r="I100">
        <v>3.22</v>
      </c>
      <c r="J100">
        <v>118</v>
      </c>
      <c r="K100">
        <f t="shared" ca="1" si="90"/>
        <v>767</v>
      </c>
      <c r="M100">
        <f t="shared" ca="1" si="91"/>
        <v>767</v>
      </c>
      <c r="N100" t="str">
        <f t="shared" si="92"/>
        <v>Average</v>
      </c>
      <c r="O100" t="e">
        <f t="shared" si="93"/>
        <v>#N/A</v>
      </c>
      <c r="P100" t="str">
        <f t="shared" si="94"/>
        <v>YES</v>
      </c>
      <c r="Q100">
        <f t="shared" si="67"/>
        <v>738757</v>
      </c>
      <c r="R100" t="str">
        <f t="shared" si="95"/>
        <v>2022-2023</v>
      </c>
    </row>
    <row r="101" spans="1:18" x14ac:dyDescent="0.25">
      <c r="A101" t="s">
        <v>268</v>
      </c>
      <c r="B101" t="s">
        <v>269</v>
      </c>
      <c r="C101" t="s">
        <v>55</v>
      </c>
      <c r="D101" t="s">
        <v>25</v>
      </c>
      <c r="E101" s="1">
        <v>44936</v>
      </c>
      <c r="F101" t="s">
        <v>5</v>
      </c>
      <c r="G101">
        <v>4576</v>
      </c>
      <c r="H101">
        <v>8102</v>
      </c>
      <c r="I101">
        <v>2.91</v>
      </c>
      <c r="J101">
        <v>111</v>
      </c>
      <c r="K101">
        <f t="shared" ca="1" si="90"/>
        <v>1031</v>
      </c>
      <c r="M101">
        <f t="shared" ca="1" si="91"/>
        <v>1031</v>
      </c>
      <c r="N101" t="str">
        <f t="shared" si="92"/>
        <v>Good</v>
      </c>
      <c r="O101" t="e">
        <f t="shared" si="93"/>
        <v>#N/A</v>
      </c>
      <c r="P101" t="str">
        <f t="shared" si="94"/>
        <v>YES</v>
      </c>
      <c r="Q101">
        <f t="shared" si="67"/>
        <v>738757</v>
      </c>
      <c r="R101" t="str">
        <f t="shared" si="95"/>
        <v>2023-2024</v>
      </c>
    </row>
    <row r="102" spans="1:18" hidden="1" x14ac:dyDescent="0.25">
      <c r="A102" t="s">
        <v>270</v>
      </c>
      <c r="B102" t="s">
        <v>271</v>
      </c>
      <c r="C102" t="s">
        <v>55</v>
      </c>
      <c r="D102" t="s">
        <v>65</v>
      </c>
      <c r="E102" t="s">
        <v>272</v>
      </c>
      <c r="F102" t="s">
        <v>11</v>
      </c>
      <c r="G102">
        <v>4673</v>
      </c>
      <c r="H102">
        <v>5393</v>
      </c>
      <c r="I102">
        <v>2.2799999999999998</v>
      </c>
      <c r="J102">
        <v>35</v>
      </c>
      <c r="Q102">
        <f t="shared" si="67"/>
        <v>738757</v>
      </c>
    </row>
    <row r="103" spans="1:18" hidden="1" x14ac:dyDescent="0.25">
      <c r="A103" t="s">
        <v>273</v>
      </c>
      <c r="B103" t="s">
        <v>274</v>
      </c>
      <c r="C103" t="s">
        <v>14</v>
      </c>
      <c r="D103" t="s">
        <v>25</v>
      </c>
      <c r="E103" t="s">
        <v>117</v>
      </c>
      <c r="F103" t="s">
        <v>11</v>
      </c>
      <c r="G103">
        <v>11777</v>
      </c>
      <c r="H103">
        <v>5757</v>
      </c>
      <c r="I103">
        <v>3.22</v>
      </c>
      <c r="J103">
        <v>19</v>
      </c>
      <c r="Q103">
        <f t="shared" si="67"/>
        <v>738757</v>
      </c>
    </row>
    <row r="104" spans="1:18" x14ac:dyDescent="0.25">
      <c r="A104" t="s">
        <v>275</v>
      </c>
      <c r="B104" t="s">
        <v>276</v>
      </c>
      <c r="C104" t="s">
        <v>32</v>
      </c>
      <c r="D104" t="s">
        <v>9</v>
      </c>
      <c r="E104" s="1">
        <v>45356</v>
      </c>
      <c r="F104" t="s">
        <v>5</v>
      </c>
      <c r="G104">
        <v>3948</v>
      </c>
      <c r="H104">
        <v>913</v>
      </c>
      <c r="I104">
        <v>3.44</v>
      </c>
      <c r="J104">
        <v>101</v>
      </c>
      <c r="K104">
        <f t="shared" ref="K104" ca="1" si="96">IF(F104="Enrolled", TODAY()-E104, "")</f>
        <v>611</v>
      </c>
      <c r="M104">
        <f ca="1">IF(F104="Enrolled",TODAY() - E104,"")</f>
        <v>611</v>
      </c>
      <c r="N104" t="str">
        <f>IF(I106&gt;=3.5,"Excellent",IF(I106&gt;=3,"Good",IF(I106&gt;=2,"Average","Poor")))</f>
        <v>Excellent</v>
      </c>
      <c r="O104" t="e">
        <f>VLOOKUP(D104, $T$18:$U$23, 2, FALSE)</f>
        <v>#N/A</v>
      </c>
      <c r="P104" t="str">
        <f t="shared" ref="P104" si="97">IF(H104 &gt; 0.5 * G104, "YES", "NO")</f>
        <v>NO</v>
      </c>
      <c r="Q104">
        <f t="shared" si="67"/>
        <v>738757</v>
      </c>
      <c r="R104" t="str">
        <f>IF(MONTH(E98)&gt;=6, YEAR(E98) &amp; "-" &amp; YEAR(E98)+1, YEAR(E98)-1 &amp; "-" &amp; YEAR(E98))</f>
        <v>2022-2023</v>
      </c>
    </row>
    <row r="105" spans="1:18" hidden="1" x14ac:dyDescent="0.25">
      <c r="A105" t="s">
        <v>277</v>
      </c>
      <c r="B105" t="s">
        <v>278</v>
      </c>
      <c r="C105" t="s">
        <v>58</v>
      </c>
      <c r="D105" t="s">
        <v>25</v>
      </c>
      <c r="E105" s="1">
        <v>45268</v>
      </c>
      <c r="F105" t="s">
        <v>11</v>
      </c>
      <c r="G105">
        <v>3512</v>
      </c>
      <c r="H105">
        <v>4473</v>
      </c>
      <c r="I105">
        <v>2.92</v>
      </c>
      <c r="J105">
        <v>63</v>
      </c>
      <c r="Q105">
        <f t="shared" si="67"/>
        <v>738757</v>
      </c>
    </row>
    <row r="106" spans="1:18" x14ac:dyDescent="0.25">
      <c r="A106" t="s">
        <v>279</v>
      </c>
      <c r="B106" t="s">
        <v>280</v>
      </c>
      <c r="C106" t="s">
        <v>8</v>
      </c>
      <c r="D106" t="s">
        <v>25</v>
      </c>
      <c r="E106" t="s">
        <v>281</v>
      </c>
      <c r="F106" t="s">
        <v>5</v>
      </c>
      <c r="G106">
        <v>4717</v>
      </c>
      <c r="H106">
        <v>7462</v>
      </c>
      <c r="I106">
        <v>3.58</v>
      </c>
      <c r="J106">
        <v>1</v>
      </c>
      <c r="K106">
        <f t="shared" ref="K106" ca="1" si="98">IF(F106="Enrolled", TODAY()-E106, "")</f>
        <v>511</v>
      </c>
      <c r="M106">
        <f ca="1">IF(F106="Enrolled",TODAY() - E106,"")</f>
        <v>511</v>
      </c>
      <c r="N106" t="str">
        <f>IF(I108&gt;=3.5,"Excellent",IF(I108&gt;=3,"Good",IF(I108&gt;=2,"Average","Poor")))</f>
        <v>Excellent</v>
      </c>
      <c r="O106" t="e">
        <f>VLOOKUP(D106, $T$18:$U$23, 2, FALSE)</f>
        <v>#N/A</v>
      </c>
      <c r="P106" t="str">
        <f t="shared" ref="P106" si="99">IF(H106 &gt; 0.5 * G106, "YES", "NO")</f>
        <v>YES</v>
      </c>
      <c r="Q106">
        <f t="shared" si="67"/>
        <v>738757</v>
      </c>
      <c r="R106" t="str">
        <f>IF(MONTH(E100)&gt;=6, YEAR(E100) &amp; "-" &amp; YEAR(E100)+1, YEAR(E100)-1 &amp; "-" &amp; YEAR(E100))</f>
        <v>2023-2024</v>
      </c>
    </row>
    <row r="107" spans="1:18" hidden="1" x14ac:dyDescent="0.25">
      <c r="A107" t="s">
        <v>282</v>
      </c>
      <c r="B107" t="s">
        <v>283</v>
      </c>
      <c r="C107" t="s">
        <v>14</v>
      </c>
      <c r="D107" t="s">
        <v>3</v>
      </c>
      <c r="E107" t="s">
        <v>85</v>
      </c>
      <c r="F107" t="s">
        <v>36</v>
      </c>
      <c r="G107">
        <v>2717</v>
      </c>
      <c r="H107">
        <v>9601</v>
      </c>
      <c r="I107">
        <v>2.14</v>
      </c>
      <c r="J107">
        <v>11</v>
      </c>
      <c r="Q107">
        <f t="shared" si="67"/>
        <v>738757</v>
      </c>
    </row>
    <row r="108" spans="1:18" hidden="1" x14ac:dyDescent="0.25">
      <c r="A108" t="s">
        <v>284</v>
      </c>
      <c r="B108" t="s">
        <v>285</v>
      </c>
      <c r="C108" t="s">
        <v>8</v>
      </c>
      <c r="D108" t="s">
        <v>25</v>
      </c>
      <c r="E108" s="1">
        <v>44806</v>
      </c>
      <c r="F108" t="s">
        <v>11</v>
      </c>
      <c r="G108">
        <v>9160</v>
      </c>
      <c r="H108">
        <v>3049</v>
      </c>
      <c r="I108">
        <v>3.59</v>
      </c>
      <c r="J108">
        <v>2</v>
      </c>
      <c r="Q108">
        <f t="shared" si="67"/>
        <v>738757</v>
      </c>
    </row>
    <row r="109" spans="1:18" x14ac:dyDescent="0.25">
      <c r="A109" t="s">
        <v>286</v>
      </c>
      <c r="B109" t="s">
        <v>287</v>
      </c>
      <c r="C109" t="s">
        <v>58</v>
      </c>
      <c r="D109" t="s">
        <v>3</v>
      </c>
      <c r="E109" s="1">
        <v>44989</v>
      </c>
      <c r="F109" t="s">
        <v>5</v>
      </c>
      <c r="G109">
        <v>3268</v>
      </c>
      <c r="H109">
        <v>424</v>
      </c>
      <c r="I109">
        <v>2.85</v>
      </c>
      <c r="J109">
        <v>59</v>
      </c>
      <c r="K109">
        <f t="shared" ref="K109:K122" ca="1" si="100">IF(F109="Enrolled", TODAY()-E109, "")</f>
        <v>978</v>
      </c>
      <c r="M109">
        <f t="shared" ref="M109:M122" ca="1" si="101">IF(F109="Enrolled",TODAY() - E109,"")</f>
        <v>978</v>
      </c>
      <c r="N109" t="str">
        <f t="shared" ref="N109:N122" si="102">IF(I111&gt;=3.5,"Excellent",IF(I111&gt;=3,"Good",IF(I111&gt;=2,"Average","Poor")))</f>
        <v>Average</v>
      </c>
      <c r="O109" t="e">
        <f t="shared" ref="O109:O122" si="103">VLOOKUP(D109, $T$18:$U$23, 2, FALSE)</f>
        <v>#N/A</v>
      </c>
      <c r="P109" t="str">
        <f t="shared" ref="P109:P122" si="104">IF(H109 &gt; 0.5 * G109, "YES", "NO")</f>
        <v>NO</v>
      </c>
      <c r="Q109">
        <f t="shared" si="67"/>
        <v>738757</v>
      </c>
      <c r="R109" t="str">
        <f t="shared" ref="R109:R122" si="105">IF(MONTH(E103)&gt;=6, YEAR(E103) &amp; "-" &amp; YEAR(E103)+1, YEAR(E103)-1 &amp; "-" &amp; YEAR(E103))</f>
        <v>2022-2023</v>
      </c>
    </row>
    <row r="110" spans="1:18" x14ac:dyDescent="0.25">
      <c r="A110" t="s">
        <v>288</v>
      </c>
      <c r="B110" t="s">
        <v>289</v>
      </c>
      <c r="C110" t="s">
        <v>17</v>
      </c>
      <c r="D110" t="s">
        <v>25</v>
      </c>
      <c r="E110" s="1">
        <v>45078</v>
      </c>
      <c r="F110" t="s">
        <v>5</v>
      </c>
      <c r="G110">
        <v>4636</v>
      </c>
      <c r="H110">
        <v>2544</v>
      </c>
      <c r="I110">
        <v>3.31</v>
      </c>
      <c r="J110">
        <v>60</v>
      </c>
      <c r="K110">
        <f t="shared" ca="1" si="100"/>
        <v>889</v>
      </c>
      <c r="M110">
        <f t="shared" ca="1" si="101"/>
        <v>889</v>
      </c>
      <c r="N110" t="str">
        <f t="shared" si="102"/>
        <v>Good</v>
      </c>
      <c r="O110" t="e">
        <f t="shared" si="103"/>
        <v>#N/A</v>
      </c>
      <c r="P110" t="str">
        <f t="shared" si="104"/>
        <v>YES</v>
      </c>
      <c r="Q110">
        <f t="shared" si="67"/>
        <v>738757</v>
      </c>
      <c r="R110" t="str">
        <f t="shared" si="105"/>
        <v>2023-2024</v>
      </c>
    </row>
    <row r="111" spans="1:18" x14ac:dyDescent="0.25">
      <c r="A111" t="s">
        <v>290</v>
      </c>
      <c r="B111" t="s">
        <v>291</v>
      </c>
      <c r="C111" t="s">
        <v>21</v>
      </c>
      <c r="D111" t="s">
        <v>25</v>
      </c>
      <c r="E111" t="s">
        <v>292</v>
      </c>
      <c r="F111" t="s">
        <v>5</v>
      </c>
      <c r="G111">
        <v>10654</v>
      </c>
      <c r="H111">
        <v>4738</v>
      </c>
      <c r="I111">
        <v>2.67</v>
      </c>
      <c r="J111">
        <v>53</v>
      </c>
      <c r="K111">
        <f t="shared" ca="1" si="100"/>
        <v>744</v>
      </c>
      <c r="M111">
        <f t="shared" ca="1" si="101"/>
        <v>744</v>
      </c>
      <c r="N111" t="str">
        <f t="shared" si="102"/>
        <v>Average</v>
      </c>
      <c r="O111" t="e">
        <f t="shared" si="103"/>
        <v>#N/A</v>
      </c>
      <c r="P111" t="str">
        <f t="shared" si="104"/>
        <v>NO</v>
      </c>
      <c r="Q111">
        <f t="shared" si="67"/>
        <v>738757</v>
      </c>
      <c r="R111" t="str">
        <f t="shared" si="105"/>
        <v>2023-2024</v>
      </c>
    </row>
    <row r="112" spans="1:18" x14ac:dyDescent="0.25">
      <c r="A112" t="s">
        <v>293</v>
      </c>
      <c r="B112" t="s">
        <v>294</v>
      </c>
      <c r="C112" t="s">
        <v>21</v>
      </c>
      <c r="D112" t="s">
        <v>25</v>
      </c>
      <c r="E112" t="s">
        <v>295</v>
      </c>
      <c r="F112" t="s">
        <v>5</v>
      </c>
      <c r="G112">
        <v>9355</v>
      </c>
      <c r="H112">
        <v>8250</v>
      </c>
      <c r="I112">
        <v>3.02</v>
      </c>
      <c r="J112">
        <v>92</v>
      </c>
      <c r="K112">
        <f t="shared" ca="1" si="100"/>
        <v>931</v>
      </c>
      <c r="M112">
        <f t="shared" ca="1" si="101"/>
        <v>931</v>
      </c>
      <c r="N112" t="str">
        <f t="shared" si="102"/>
        <v>Excellent</v>
      </c>
      <c r="O112" t="e">
        <f t="shared" si="103"/>
        <v>#N/A</v>
      </c>
      <c r="P112" t="str">
        <f t="shared" si="104"/>
        <v>YES</v>
      </c>
      <c r="Q112">
        <f t="shared" si="67"/>
        <v>738757</v>
      </c>
      <c r="R112" t="str">
        <f t="shared" si="105"/>
        <v>2024-2025</v>
      </c>
    </row>
    <row r="113" spans="1:18" x14ac:dyDescent="0.25">
      <c r="A113" t="s">
        <v>296</v>
      </c>
      <c r="B113" t="s">
        <v>297</v>
      </c>
      <c r="C113" t="s">
        <v>32</v>
      </c>
      <c r="D113" t="s">
        <v>9</v>
      </c>
      <c r="E113" t="s">
        <v>298</v>
      </c>
      <c r="F113" t="s">
        <v>5</v>
      </c>
      <c r="G113">
        <v>12309</v>
      </c>
      <c r="H113">
        <v>1062</v>
      </c>
      <c r="I113">
        <v>2.71</v>
      </c>
      <c r="J113">
        <v>116</v>
      </c>
      <c r="K113">
        <f t="shared" ca="1" si="100"/>
        <v>1103</v>
      </c>
      <c r="M113">
        <f t="shared" ca="1" si="101"/>
        <v>1103</v>
      </c>
      <c r="N113" t="str">
        <f t="shared" si="102"/>
        <v>Excellent</v>
      </c>
      <c r="O113" t="e">
        <f t="shared" si="103"/>
        <v>#N/A</v>
      </c>
      <c r="P113" t="str">
        <f t="shared" si="104"/>
        <v>NO</v>
      </c>
      <c r="Q113">
        <f t="shared" si="67"/>
        <v>738757</v>
      </c>
      <c r="R113" t="str">
        <f t="shared" si="105"/>
        <v>2023-2024</v>
      </c>
    </row>
    <row r="114" spans="1:18" x14ac:dyDescent="0.25">
      <c r="A114" t="s">
        <v>299</v>
      </c>
      <c r="B114" t="s">
        <v>300</v>
      </c>
      <c r="C114" t="s">
        <v>17</v>
      </c>
      <c r="D114" t="s">
        <v>25</v>
      </c>
      <c r="E114" s="1">
        <v>45598</v>
      </c>
      <c r="F114" t="s">
        <v>5</v>
      </c>
      <c r="G114">
        <v>8529</v>
      </c>
      <c r="H114">
        <v>5629</v>
      </c>
      <c r="I114">
        <v>3.62</v>
      </c>
      <c r="J114">
        <v>95</v>
      </c>
      <c r="K114">
        <f t="shared" ca="1" si="100"/>
        <v>369</v>
      </c>
      <c r="M114">
        <f t="shared" ca="1" si="101"/>
        <v>369</v>
      </c>
      <c r="N114" t="str">
        <f t="shared" si="102"/>
        <v>Average</v>
      </c>
      <c r="O114" t="e">
        <f t="shared" si="103"/>
        <v>#N/A</v>
      </c>
      <c r="P114" t="str">
        <f t="shared" si="104"/>
        <v>YES</v>
      </c>
      <c r="Q114">
        <f t="shared" si="67"/>
        <v>738757</v>
      </c>
      <c r="R114" t="str">
        <f t="shared" si="105"/>
        <v>2022-2023</v>
      </c>
    </row>
    <row r="115" spans="1:18" x14ac:dyDescent="0.25">
      <c r="A115" t="s">
        <v>301</v>
      </c>
      <c r="B115" t="s">
        <v>302</v>
      </c>
      <c r="C115" t="s">
        <v>2</v>
      </c>
      <c r="D115" t="s">
        <v>65</v>
      </c>
      <c r="E115" s="1">
        <v>44571</v>
      </c>
      <c r="F115" t="s">
        <v>5</v>
      </c>
      <c r="G115">
        <v>7580</v>
      </c>
      <c r="H115">
        <v>7611</v>
      </c>
      <c r="I115">
        <v>3.77</v>
      </c>
      <c r="J115">
        <v>82</v>
      </c>
      <c r="K115">
        <f t="shared" ca="1" si="100"/>
        <v>1396</v>
      </c>
      <c r="M115">
        <f t="shared" ca="1" si="101"/>
        <v>1396</v>
      </c>
      <c r="N115" t="str">
        <f t="shared" si="102"/>
        <v>Average</v>
      </c>
      <c r="O115" t="e">
        <f t="shared" si="103"/>
        <v>#N/A</v>
      </c>
      <c r="P115" t="str">
        <f t="shared" si="104"/>
        <v>YES</v>
      </c>
      <c r="Q115">
        <f t="shared" si="67"/>
        <v>738757</v>
      </c>
      <c r="R115" t="str">
        <f t="shared" si="105"/>
        <v>2022-2023</v>
      </c>
    </row>
    <row r="116" spans="1:18" x14ac:dyDescent="0.25">
      <c r="A116" t="s">
        <v>303</v>
      </c>
      <c r="B116" t="s">
        <v>304</v>
      </c>
      <c r="C116" t="s">
        <v>32</v>
      </c>
      <c r="D116" t="s">
        <v>65</v>
      </c>
      <c r="E116" s="1">
        <v>44594</v>
      </c>
      <c r="F116" t="s">
        <v>5</v>
      </c>
      <c r="G116">
        <v>4713</v>
      </c>
      <c r="H116">
        <v>8232</v>
      </c>
      <c r="I116">
        <v>2.87</v>
      </c>
      <c r="J116">
        <v>98</v>
      </c>
      <c r="K116">
        <f t="shared" ca="1" si="100"/>
        <v>1373</v>
      </c>
      <c r="M116">
        <f t="shared" ca="1" si="101"/>
        <v>1373</v>
      </c>
      <c r="N116" t="str">
        <f t="shared" si="102"/>
        <v>Excellent</v>
      </c>
      <c r="O116" t="e">
        <f t="shared" si="103"/>
        <v>#N/A</v>
      </c>
      <c r="P116" t="str">
        <f t="shared" si="104"/>
        <v>YES</v>
      </c>
      <c r="Q116">
        <f t="shared" si="67"/>
        <v>738757</v>
      </c>
      <c r="R116" t="str">
        <f t="shared" si="105"/>
        <v>2023-2024</v>
      </c>
    </row>
    <row r="117" spans="1:18" x14ac:dyDescent="0.25">
      <c r="A117" t="s">
        <v>305</v>
      </c>
      <c r="B117" t="s">
        <v>306</v>
      </c>
      <c r="C117" t="s">
        <v>2</v>
      </c>
      <c r="D117" t="s">
        <v>9</v>
      </c>
      <c r="E117" s="1">
        <v>44653</v>
      </c>
      <c r="F117" t="s">
        <v>5</v>
      </c>
      <c r="G117">
        <v>9304</v>
      </c>
      <c r="H117">
        <v>1312</v>
      </c>
      <c r="I117">
        <v>2.62</v>
      </c>
      <c r="J117">
        <v>102</v>
      </c>
      <c r="K117">
        <f t="shared" ca="1" si="100"/>
        <v>1314</v>
      </c>
      <c r="M117">
        <f t="shared" ca="1" si="101"/>
        <v>1314</v>
      </c>
      <c r="N117" t="str">
        <f t="shared" si="102"/>
        <v>Excellent</v>
      </c>
      <c r="O117" t="e">
        <f t="shared" si="103"/>
        <v>#N/A</v>
      </c>
      <c r="P117" t="str">
        <f t="shared" si="104"/>
        <v>NO</v>
      </c>
      <c r="Q117">
        <f t="shared" si="67"/>
        <v>738757</v>
      </c>
      <c r="R117" t="str">
        <f t="shared" si="105"/>
        <v>2023-2024</v>
      </c>
    </row>
    <row r="118" spans="1:18" x14ac:dyDescent="0.25">
      <c r="A118" t="s">
        <v>307</v>
      </c>
      <c r="B118" t="s">
        <v>308</v>
      </c>
      <c r="C118" t="s">
        <v>14</v>
      </c>
      <c r="D118" t="s">
        <v>9</v>
      </c>
      <c r="E118" t="s">
        <v>309</v>
      </c>
      <c r="F118" t="s">
        <v>5</v>
      </c>
      <c r="G118">
        <v>2599</v>
      </c>
      <c r="H118">
        <v>6425</v>
      </c>
      <c r="I118">
        <v>3.62</v>
      </c>
      <c r="J118">
        <v>5</v>
      </c>
      <c r="K118">
        <f t="shared" ca="1" si="100"/>
        <v>598</v>
      </c>
      <c r="M118">
        <f t="shared" ca="1" si="101"/>
        <v>598</v>
      </c>
      <c r="N118" t="str">
        <f t="shared" si="102"/>
        <v>Average</v>
      </c>
      <c r="O118" t="e">
        <f t="shared" si="103"/>
        <v>#N/A</v>
      </c>
      <c r="P118" t="str">
        <f t="shared" si="104"/>
        <v>YES</v>
      </c>
      <c r="Q118">
        <f t="shared" si="67"/>
        <v>738757</v>
      </c>
      <c r="R118" t="str">
        <f t="shared" si="105"/>
        <v>2022-2023</v>
      </c>
    </row>
    <row r="119" spans="1:18" x14ac:dyDescent="0.25">
      <c r="A119" t="s">
        <v>310</v>
      </c>
      <c r="B119" t="s">
        <v>311</v>
      </c>
      <c r="C119" t="s">
        <v>8</v>
      </c>
      <c r="D119" t="s">
        <v>65</v>
      </c>
      <c r="E119" s="1">
        <v>44995</v>
      </c>
      <c r="F119" t="s">
        <v>5</v>
      </c>
      <c r="G119">
        <v>12572</v>
      </c>
      <c r="H119">
        <v>8587</v>
      </c>
      <c r="I119">
        <v>3.67</v>
      </c>
      <c r="J119">
        <v>14</v>
      </c>
      <c r="K119">
        <f t="shared" ca="1" si="100"/>
        <v>972</v>
      </c>
      <c r="M119">
        <f t="shared" ca="1" si="101"/>
        <v>972</v>
      </c>
      <c r="N119" t="str">
        <f t="shared" si="102"/>
        <v>Excellent</v>
      </c>
      <c r="O119" t="e">
        <f t="shared" si="103"/>
        <v>#N/A</v>
      </c>
      <c r="P119" t="str">
        <f t="shared" si="104"/>
        <v>YES</v>
      </c>
      <c r="Q119">
        <f t="shared" si="67"/>
        <v>738757</v>
      </c>
      <c r="R119" t="str">
        <f t="shared" si="105"/>
        <v>2022-2023</v>
      </c>
    </row>
    <row r="120" spans="1:18" x14ac:dyDescent="0.25">
      <c r="A120" t="s">
        <v>312</v>
      </c>
      <c r="B120" t="s">
        <v>313</v>
      </c>
      <c r="C120" t="s">
        <v>14</v>
      </c>
      <c r="D120" t="s">
        <v>3</v>
      </c>
      <c r="E120" t="s">
        <v>314</v>
      </c>
      <c r="F120" t="s">
        <v>5</v>
      </c>
      <c r="G120">
        <v>10736</v>
      </c>
      <c r="H120">
        <v>6508</v>
      </c>
      <c r="I120">
        <v>2.48</v>
      </c>
      <c r="J120">
        <v>21</v>
      </c>
      <c r="K120">
        <f t="shared" ca="1" si="100"/>
        <v>617</v>
      </c>
      <c r="M120">
        <f t="shared" ca="1" si="101"/>
        <v>617</v>
      </c>
      <c r="N120" t="str">
        <f t="shared" si="102"/>
        <v>Excellent</v>
      </c>
      <c r="O120" t="e">
        <f t="shared" si="103"/>
        <v>#N/A</v>
      </c>
      <c r="P120" t="str">
        <f t="shared" si="104"/>
        <v>YES</v>
      </c>
      <c r="Q120">
        <f t="shared" si="67"/>
        <v>738757</v>
      </c>
      <c r="R120" t="str">
        <f t="shared" si="105"/>
        <v>2024-2025</v>
      </c>
    </row>
    <row r="121" spans="1:18" x14ac:dyDescent="0.25">
      <c r="A121" t="s">
        <v>315</v>
      </c>
      <c r="B121" t="s">
        <v>316</v>
      </c>
      <c r="C121" t="s">
        <v>55</v>
      </c>
      <c r="D121" t="s">
        <v>25</v>
      </c>
      <c r="E121" t="s">
        <v>317</v>
      </c>
      <c r="F121" t="s">
        <v>5</v>
      </c>
      <c r="G121">
        <v>11349</v>
      </c>
      <c r="H121">
        <v>8642</v>
      </c>
      <c r="I121">
        <v>3.5</v>
      </c>
      <c r="J121">
        <v>112</v>
      </c>
      <c r="K121">
        <f t="shared" ca="1" si="100"/>
        <v>1358</v>
      </c>
      <c r="M121">
        <f t="shared" ca="1" si="101"/>
        <v>1358</v>
      </c>
      <c r="N121" t="str">
        <f t="shared" si="102"/>
        <v>Average</v>
      </c>
      <c r="O121" t="e">
        <f t="shared" si="103"/>
        <v>#N/A</v>
      </c>
      <c r="P121" t="str">
        <f t="shared" si="104"/>
        <v>YES</v>
      </c>
      <c r="Q121">
        <f t="shared" si="67"/>
        <v>738757</v>
      </c>
      <c r="R121" t="str">
        <f t="shared" si="105"/>
        <v>2021-2022</v>
      </c>
    </row>
    <row r="122" spans="1:18" x14ac:dyDescent="0.25">
      <c r="A122" t="s">
        <v>318</v>
      </c>
      <c r="B122" t="s">
        <v>319</v>
      </c>
      <c r="C122" t="s">
        <v>17</v>
      </c>
      <c r="D122" t="s">
        <v>3</v>
      </c>
      <c r="E122" s="1">
        <v>45237</v>
      </c>
      <c r="F122" t="s">
        <v>5</v>
      </c>
      <c r="G122">
        <v>2073</v>
      </c>
      <c r="H122">
        <v>1993</v>
      </c>
      <c r="I122">
        <v>3.62</v>
      </c>
      <c r="J122">
        <v>0</v>
      </c>
      <c r="K122">
        <f t="shared" ca="1" si="100"/>
        <v>730</v>
      </c>
      <c r="M122">
        <f t="shared" ca="1" si="101"/>
        <v>730</v>
      </c>
      <c r="N122" t="str">
        <f t="shared" si="102"/>
        <v>Average</v>
      </c>
      <c r="O122" t="e">
        <f t="shared" si="103"/>
        <v>#N/A</v>
      </c>
      <c r="P122" t="str">
        <f t="shared" si="104"/>
        <v>YES</v>
      </c>
      <c r="Q122">
        <f t="shared" si="67"/>
        <v>738757</v>
      </c>
      <c r="R122" t="str">
        <f t="shared" si="105"/>
        <v>2021-2022</v>
      </c>
    </row>
    <row r="123" spans="1:18" hidden="1" x14ac:dyDescent="0.25">
      <c r="A123" t="s">
        <v>320</v>
      </c>
      <c r="B123" t="s">
        <v>321</v>
      </c>
      <c r="C123" t="s">
        <v>17</v>
      </c>
      <c r="D123" t="s">
        <v>25</v>
      </c>
      <c r="E123" s="1">
        <v>45088</v>
      </c>
      <c r="F123" t="s">
        <v>11</v>
      </c>
      <c r="G123">
        <v>3742</v>
      </c>
      <c r="H123">
        <v>4389</v>
      </c>
      <c r="I123">
        <v>2.67</v>
      </c>
      <c r="J123">
        <v>9</v>
      </c>
      <c r="Q123">
        <f t="shared" si="67"/>
        <v>738757</v>
      </c>
    </row>
    <row r="124" spans="1:18" x14ac:dyDescent="0.25">
      <c r="A124" t="s">
        <v>322</v>
      </c>
      <c r="B124" t="s">
        <v>323</v>
      </c>
      <c r="C124" t="s">
        <v>8</v>
      </c>
      <c r="D124" t="s">
        <v>9</v>
      </c>
      <c r="E124" s="1">
        <v>45505</v>
      </c>
      <c r="F124" t="s">
        <v>5</v>
      </c>
      <c r="G124">
        <v>5954</v>
      </c>
      <c r="H124">
        <v>8075</v>
      </c>
      <c r="I124">
        <v>2.82</v>
      </c>
      <c r="J124">
        <v>57</v>
      </c>
      <c r="K124">
        <f t="shared" ref="K124" ca="1" si="106">IF(F124="Enrolled", TODAY()-E124, "")</f>
        <v>462</v>
      </c>
      <c r="M124">
        <f ca="1">IF(F124="Enrolled",TODAY() - E124,"")</f>
        <v>462</v>
      </c>
      <c r="N124" t="str">
        <f>IF(I126&gt;=3.5,"Excellent",IF(I126&gt;=3,"Good",IF(I126&gt;=2,"Average","Poor")))</f>
        <v>Excellent</v>
      </c>
      <c r="O124" t="e">
        <f>VLOOKUP(D124, $T$18:$U$23, 2, FALSE)</f>
        <v>#N/A</v>
      </c>
      <c r="P124" t="str">
        <f t="shared" ref="P124" si="107">IF(H124 &gt; 0.5 * G124, "YES", "NO")</f>
        <v>YES</v>
      </c>
      <c r="Q124">
        <f t="shared" si="67"/>
        <v>738757</v>
      </c>
      <c r="R124" t="str">
        <f>IF(MONTH(E118)&gt;=6, YEAR(E118) &amp; "-" &amp; YEAR(E118)+1, YEAR(E118)-1 &amp; "-" &amp; YEAR(E118))</f>
        <v>2023-2024</v>
      </c>
    </row>
    <row r="125" spans="1:18" hidden="1" x14ac:dyDescent="0.25">
      <c r="A125" t="s">
        <v>324</v>
      </c>
      <c r="B125" t="s">
        <v>325</v>
      </c>
      <c r="C125" t="s">
        <v>8</v>
      </c>
      <c r="D125" t="s">
        <v>3</v>
      </c>
      <c r="E125" t="s">
        <v>174</v>
      </c>
      <c r="F125" t="s">
        <v>11</v>
      </c>
      <c r="G125">
        <v>5513</v>
      </c>
      <c r="H125">
        <v>1545</v>
      </c>
      <c r="I125">
        <v>2.72</v>
      </c>
      <c r="J125">
        <v>79</v>
      </c>
      <c r="Q125">
        <f t="shared" si="67"/>
        <v>738757</v>
      </c>
    </row>
    <row r="126" spans="1:18" hidden="1" x14ac:dyDescent="0.25">
      <c r="A126" t="s">
        <v>326</v>
      </c>
      <c r="B126" t="s">
        <v>327</v>
      </c>
      <c r="C126" t="s">
        <v>55</v>
      </c>
      <c r="D126" t="s">
        <v>3</v>
      </c>
      <c r="E126" t="s">
        <v>328</v>
      </c>
      <c r="F126" t="s">
        <v>11</v>
      </c>
      <c r="G126">
        <v>9374</v>
      </c>
      <c r="H126">
        <v>3980</v>
      </c>
      <c r="I126">
        <v>3.9</v>
      </c>
      <c r="J126">
        <v>92</v>
      </c>
      <c r="Q126">
        <f t="shared" si="67"/>
        <v>738757</v>
      </c>
    </row>
    <row r="127" spans="1:18" x14ac:dyDescent="0.25">
      <c r="A127" t="s">
        <v>329</v>
      </c>
      <c r="B127" t="s">
        <v>330</v>
      </c>
      <c r="C127" t="s">
        <v>55</v>
      </c>
      <c r="D127" t="s">
        <v>65</v>
      </c>
      <c r="E127" t="s">
        <v>331</v>
      </c>
      <c r="F127" t="s">
        <v>5</v>
      </c>
      <c r="G127">
        <v>13694</v>
      </c>
      <c r="H127">
        <v>5031</v>
      </c>
      <c r="I127">
        <v>2.2400000000000002</v>
      </c>
      <c r="J127">
        <v>42</v>
      </c>
      <c r="K127">
        <f t="shared" ref="K127" ca="1" si="108">IF(F127="Enrolled", TODAY()-E127, "")</f>
        <v>1142</v>
      </c>
      <c r="M127">
        <f ca="1">IF(F127="Enrolled",TODAY() - E127,"")</f>
        <v>1142</v>
      </c>
      <c r="N127" t="str">
        <f>IF(I129&gt;=3.5,"Excellent",IF(I129&gt;=3,"Good",IF(I129&gt;=2,"Average","Poor")))</f>
        <v>Good</v>
      </c>
      <c r="O127" t="e">
        <f>VLOOKUP(D127, $T$18:$U$23, 2, FALSE)</f>
        <v>#N/A</v>
      </c>
      <c r="P127" t="str">
        <f t="shared" ref="P127" si="109">IF(H127 &gt; 0.5 * G127, "YES", "NO")</f>
        <v>NO</v>
      </c>
      <c r="Q127">
        <f t="shared" si="67"/>
        <v>738757</v>
      </c>
      <c r="R127" t="str">
        <f>IF(MONTH(E121)&gt;=6, YEAR(E121) &amp; "-" &amp; YEAR(E121)+1, YEAR(E121)-1 &amp; "-" &amp; YEAR(E121))</f>
        <v>2021-2022</v>
      </c>
    </row>
    <row r="128" spans="1:18" hidden="1" x14ac:dyDescent="0.25">
      <c r="A128" t="s">
        <v>332</v>
      </c>
      <c r="B128" t="s">
        <v>333</v>
      </c>
      <c r="C128" t="s">
        <v>21</v>
      </c>
      <c r="D128" t="s">
        <v>65</v>
      </c>
      <c r="E128" s="1">
        <v>45242</v>
      </c>
      <c r="F128" t="s">
        <v>11</v>
      </c>
      <c r="G128">
        <v>7401</v>
      </c>
      <c r="H128">
        <v>5862</v>
      </c>
      <c r="I128">
        <v>3.24</v>
      </c>
      <c r="J128">
        <v>1</v>
      </c>
      <c r="Q128">
        <f t="shared" si="67"/>
        <v>738757</v>
      </c>
    </row>
    <row r="129" spans="1:18" x14ac:dyDescent="0.25">
      <c r="A129" t="s">
        <v>334</v>
      </c>
      <c r="B129" t="s">
        <v>335</v>
      </c>
      <c r="C129" t="s">
        <v>21</v>
      </c>
      <c r="D129" t="s">
        <v>25</v>
      </c>
      <c r="E129" t="s">
        <v>114</v>
      </c>
      <c r="F129" t="s">
        <v>5</v>
      </c>
      <c r="G129">
        <v>10718</v>
      </c>
      <c r="H129">
        <v>5162</v>
      </c>
      <c r="I129">
        <v>3.21</v>
      </c>
      <c r="J129">
        <v>32</v>
      </c>
      <c r="K129">
        <f t="shared" ref="K129:K130" ca="1" si="110">IF(F129="Enrolled", TODAY()-E129, "")</f>
        <v>588</v>
      </c>
      <c r="M129">
        <f t="shared" ref="M129:M130" ca="1" si="111">IF(F129="Enrolled",TODAY() - E129,"")</f>
        <v>588</v>
      </c>
      <c r="N129" t="str">
        <f t="shared" ref="N129:N130" si="112">IF(I131&gt;=3.5,"Excellent",IF(I131&gt;=3,"Good",IF(I131&gt;=2,"Average","Poor")))</f>
        <v>Average</v>
      </c>
      <c r="O129" t="e">
        <f t="shared" ref="O129:O130" si="113">VLOOKUP(D129, $T$18:$U$23, 2, FALSE)</f>
        <v>#N/A</v>
      </c>
      <c r="P129" t="str">
        <f t="shared" ref="P129:P130" si="114">IF(H129 &gt; 0.5 * G129, "YES", "NO")</f>
        <v>NO</v>
      </c>
      <c r="Q129">
        <f t="shared" si="67"/>
        <v>738757</v>
      </c>
      <c r="R129" t="str">
        <f t="shared" ref="R129:R130" si="115">IF(MONTH(E123)&gt;=6, YEAR(E123) &amp; "-" &amp; YEAR(E123)+1, YEAR(E123)-1 &amp; "-" &amp; YEAR(E123))</f>
        <v>2023-2024</v>
      </c>
    </row>
    <row r="130" spans="1:18" x14ac:dyDescent="0.25">
      <c r="A130" t="s">
        <v>336</v>
      </c>
      <c r="B130" t="s">
        <v>337</v>
      </c>
      <c r="C130" t="s">
        <v>32</v>
      </c>
      <c r="D130" t="s">
        <v>25</v>
      </c>
      <c r="E130" t="s">
        <v>111</v>
      </c>
      <c r="F130" t="s">
        <v>5</v>
      </c>
      <c r="G130">
        <v>8809</v>
      </c>
      <c r="H130">
        <v>7719</v>
      </c>
      <c r="I130">
        <v>2.92</v>
      </c>
      <c r="J130">
        <v>39</v>
      </c>
      <c r="K130">
        <f t="shared" ca="1" si="110"/>
        <v>1348</v>
      </c>
      <c r="M130">
        <f t="shared" ca="1" si="111"/>
        <v>1348</v>
      </c>
      <c r="N130" t="str">
        <f t="shared" si="112"/>
        <v>Excellent</v>
      </c>
      <c r="O130" t="e">
        <f t="shared" si="113"/>
        <v>#N/A</v>
      </c>
      <c r="P130" t="str">
        <f t="shared" si="114"/>
        <v>YES</v>
      </c>
      <c r="Q130">
        <f t="shared" si="67"/>
        <v>738757</v>
      </c>
      <c r="R130" t="str">
        <f t="shared" si="115"/>
        <v>2024-2025</v>
      </c>
    </row>
    <row r="131" spans="1:18" hidden="1" x14ac:dyDescent="0.25">
      <c r="A131" t="s">
        <v>338</v>
      </c>
      <c r="B131" t="s">
        <v>339</v>
      </c>
      <c r="C131" t="s">
        <v>17</v>
      </c>
      <c r="D131" t="s">
        <v>65</v>
      </c>
      <c r="E131" t="s">
        <v>340</v>
      </c>
      <c r="F131" t="s">
        <v>36</v>
      </c>
      <c r="G131">
        <v>5590</v>
      </c>
      <c r="H131">
        <v>9943</v>
      </c>
      <c r="I131">
        <v>2.37</v>
      </c>
      <c r="J131">
        <v>4</v>
      </c>
      <c r="Q131">
        <f t="shared" si="67"/>
        <v>738757</v>
      </c>
    </row>
    <row r="132" spans="1:18" hidden="1" x14ac:dyDescent="0.25">
      <c r="A132" t="s">
        <v>341</v>
      </c>
      <c r="B132" t="s">
        <v>342</v>
      </c>
      <c r="C132" t="s">
        <v>32</v>
      </c>
      <c r="D132" t="s">
        <v>25</v>
      </c>
      <c r="E132" s="1">
        <v>44598</v>
      </c>
      <c r="F132" t="s">
        <v>11</v>
      </c>
      <c r="G132">
        <v>4728</v>
      </c>
      <c r="H132">
        <v>2909</v>
      </c>
      <c r="I132">
        <v>3.64</v>
      </c>
      <c r="J132">
        <v>39</v>
      </c>
      <c r="Q132">
        <f t="shared" si="67"/>
        <v>738757</v>
      </c>
    </row>
    <row r="133" spans="1:18" hidden="1" x14ac:dyDescent="0.25">
      <c r="A133" t="s">
        <v>343</v>
      </c>
      <c r="B133" t="s">
        <v>344</v>
      </c>
      <c r="C133" t="s">
        <v>21</v>
      </c>
      <c r="D133" t="s">
        <v>25</v>
      </c>
      <c r="E133" s="1">
        <v>44778</v>
      </c>
      <c r="F133" t="s">
        <v>11</v>
      </c>
      <c r="G133">
        <v>9469</v>
      </c>
      <c r="H133">
        <v>6841</v>
      </c>
      <c r="I133">
        <v>2.94</v>
      </c>
      <c r="J133">
        <v>53</v>
      </c>
      <c r="Q133">
        <f t="shared" ref="Q133:Q150" si="116">SUMIFS(G133:G1331, F133:F1331, "Completed", D133:D1331, "Science")</f>
        <v>738757</v>
      </c>
    </row>
    <row r="134" spans="1:18" x14ac:dyDescent="0.25">
      <c r="A134" t="s">
        <v>345</v>
      </c>
      <c r="B134" t="s">
        <v>346</v>
      </c>
      <c r="C134" t="s">
        <v>58</v>
      </c>
      <c r="D134" t="s">
        <v>65</v>
      </c>
      <c r="E134" t="s">
        <v>347</v>
      </c>
      <c r="F134" t="s">
        <v>5</v>
      </c>
      <c r="G134">
        <v>10140</v>
      </c>
      <c r="H134">
        <v>8620</v>
      </c>
      <c r="I134">
        <v>3.6</v>
      </c>
      <c r="J134">
        <v>115</v>
      </c>
      <c r="K134">
        <f t="shared" ref="K134:K135" ca="1" si="117">IF(F134="Enrolled", TODAY()-E134, "")</f>
        <v>1194</v>
      </c>
      <c r="M134">
        <f t="shared" ref="M134:M135" ca="1" si="118">IF(F134="Enrolled",TODAY() - E134,"")</f>
        <v>1194</v>
      </c>
      <c r="N134" t="str">
        <f t="shared" ref="N134:N135" si="119">IF(I136&gt;=3.5,"Excellent",IF(I136&gt;=3,"Good",IF(I136&gt;=2,"Average","Poor")))</f>
        <v>Good</v>
      </c>
      <c r="O134" t="e">
        <f t="shared" ref="O134:O135" si="120">VLOOKUP(D134, $T$18:$U$23, 2, FALSE)</f>
        <v>#N/A</v>
      </c>
      <c r="P134" t="str">
        <f t="shared" ref="P134:P135" si="121">IF(H134 &gt; 0.5 * G134, "YES", "NO")</f>
        <v>YES</v>
      </c>
      <c r="Q134">
        <f t="shared" si="116"/>
        <v>738757</v>
      </c>
      <c r="R134" t="str">
        <f t="shared" ref="R134:R135" si="122">IF(MONTH(E128)&gt;=6, YEAR(E128) &amp; "-" &amp; YEAR(E128)+1, YEAR(E128)-1 &amp; "-" &amp; YEAR(E128))</f>
        <v>2023-2024</v>
      </c>
    </row>
    <row r="135" spans="1:18" x14ac:dyDescent="0.25">
      <c r="A135" t="s">
        <v>348</v>
      </c>
      <c r="B135" t="s">
        <v>349</v>
      </c>
      <c r="C135" t="s">
        <v>32</v>
      </c>
      <c r="D135" t="s">
        <v>25</v>
      </c>
      <c r="E135" t="s">
        <v>350</v>
      </c>
      <c r="F135" t="s">
        <v>5</v>
      </c>
      <c r="G135">
        <v>9766</v>
      </c>
      <c r="H135">
        <v>5059</v>
      </c>
      <c r="I135">
        <v>3.41</v>
      </c>
      <c r="J135">
        <v>56</v>
      </c>
      <c r="K135">
        <f t="shared" ca="1" si="117"/>
        <v>660</v>
      </c>
      <c r="M135">
        <f t="shared" ca="1" si="118"/>
        <v>660</v>
      </c>
      <c r="N135" t="str">
        <f t="shared" si="119"/>
        <v>Excellent</v>
      </c>
      <c r="O135" t="e">
        <f t="shared" si="120"/>
        <v>#N/A</v>
      </c>
      <c r="P135" t="str">
        <f t="shared" si="121"/>
        <v>YES</v>
      </c>
      <c r="Q135">
        <f t="shared" si="116"/>
        <v>738757</v>
      </c>
      <c r="R135" t="str">
        <f t="shared" si="122"/>
        <v>2023-2024</v>
      </c>
    </row>
    <row r="136" spans="1:18" hidden="1" x14ac:dyDescent="0.25">
      <c r="A136" t="s">
        <v>351</v>
      </c>
      <c r="B136" t="s">
        <v>352</v>
      </c>
      <c r="C136" t="s">
        <v>14</v>
      </c>
      <c r="D136" t="s">
        <v>25</v>
      </c>
      <c r="E136" t="s">
        <v>353</v>
      </c>
      <c r="F136" t="s">
        <v>11</v>
      </c>
      <c r="G136">
        <v>3860</v>
      </c>
      <c r="H136">
        <v>8811</v>
      </c>
      <c r="I136">
        <v>3.15</v>
      </c>
      <c r="J136">
        <v>103</v>
      </c>
      <c r="Q136">
        <f t="shared" si="116"/>
        <v>738757</v>
      </c>
    </row>
    <row r="137" spans="1:18" hidden="1" x14ac:dyDescent="0.25">
      <c r="A137" t="s">
        <v>354</v>
      </c>
      <c r="B137" t="s">
        <v>355</v>
      </c>
      <c r="C137" t="s">
        <v>8</v>
      </c>
      <c r="D137" t="s">
        <v>3</v>
      </c>
      <c r="E137" s="1">
        <v>44964</v>
      </c>
      <c r="F137" t="s">
        <v>11</v>
      </c>
      <c r="G137">
        <v>7810</v>
      </c>
      <c r="H137">
        <v>857</v>
      </c>
      <c r="I137">
        <v>3.97</v>
      </c>
      <c r="J137">
        <v>63</v>
      </c>
      <c r="Q137">
        <f t="shared" si="116"/>
        <v>738757</v>
      </c>
    </row>
    <row r="138" spans="1:18" hidden="1" x14ac:dyDescent="0.25">
      <c r="A138" t="s">
        <v>356</v>
      </c>
      <c r="B138" t="s">
        <v>357</v>
      </c>
      <c r="C138" t="s">
        <v>21</v>
      </c>
      <c r="D138" t="s">
        <v>25</v>
      </c>
      <c r="E138" t="s">
        <v>328</v>
      </c>
      <c r="F138" t="s">
        <v>36</v>
      </c>
      <c r="G138">
        <v>2993</v>
      </c>
      <c r="H138">
        <v>1240</v>
      </c>
      <c r="I138">
        <v>3.79</v>
      </c>
      <c r="J138">
        <v>111</v>
      </c>
      <c r="Q138">
        <f t="shared" si="116"/>
        <v>738757</v>
      </c>
    </row>
    <row r="139" spans="1:18" x14ac:dyDescent="0.25">
      <c r="A139" t="s">
        <v>358</v>
      </c>
      <c r="B139" t="s">
        <v>359</v>
      </c>
      <c r="C139" t="s">
        <v>21</v>
      </c>
      <c r="D139" t="s">
        <v>9</v>
      </c>
      <c r="E139" s="1">
        <v>44627</v>
      </c>
      <c r="F139" t="s">
        <v>5</v>
      </c>
      <c r="G139">
        <v>2004</v>
      </c>
      <c r="H139">
        <v>965</v>
      </c>
      <c r="I139">
        <v>3.84</v>
      </c>
      <c r="J139">
        <v>87</v>
      </c>
      <c r="K139">
        <f t="shared" ref="K139" ca="1" si="123">IF(F139="Enrolled", TODAY()-E139, "")</f>
        <v>1340</v>
      </c>
      <c r="M139">
        <f ca="1">IF(F139="Enrolled",TODAY() - E139,"")</f>
        <v>1340</v>
      </c>
      <c r="N139" t="str">
        <f>IF(I141&gt;=3.5,"Excellent",IF(I141&gt;=3,"Good",IF(I141&gt;=2,"Average","Poor")))</f>
        <v>Good</v>
      </c>
      <c r="O139" t="e">
        <f>VLOOKUP(D139, $T$18:$U$23, 2, FALSE)</f>
        <v>#N/A</v>
      </c>
      <c r="P139" t="str">
        <f t="shared" ref="P139" si="124">IF(H139 &gt; 0.5 * G139, "YES", "NO")</f>
        <v>NO</v>
      </c>
      <c r="Q139">
        <f t="shared" si="116"/>
        <v>738757</v>
      </c>
      <c r="R139" t="str">
        <f>IF(MONTH(E133)&gt;=6, YEAR(E133) &amp; "-" &amp; YEAR(E133)+1, YEAR(E133)-1 &amp; "-" &amp; YEAR(E133))</f>
        <v>2022-2023</v>
      </c>
    </row>
    <row r="140" spans="1:18" hidden="1" x14ac:dyDescent="0.25">
      <c r="A140" t="s">
        <v>360</v>
      </c>
      <c r="B140" t="s">
        <v>361</v>
      </c>
      <c r="C140" t="s">
        <v>58</v>
      </c>
      <c r="D140" t="s">
        <v>3</v>
      </c>
      <c r="E140" t="s">
        <v>362</v>
      </c>
      <c r="F140" t="s">
        <v>36</v>
      </c>
      <c r="G140">
        <v>8745</v>
      </c>
      <c r="H140">
        <v>7279</v>
      </c>
      <c r="I140">
        <v>2.97</v>
      </c>
      <c r="J140">
        <v>31</v>
      </c>
      <c r="Q140">
        <f t="shared" si="116"/>
        <v>738757</v>
      </c>
    </row>
    <row r="141" spans="1:18" x14ac:dyDescent="0.25">
      <c r="A141" t="s">
        <v>363</v>
      </c>
      <c r="B141" t="s">
        <v>364</v>
      </c>
      <c r="C141" t="s">
        <v>32</v>
      </c>
      <c r="D141" t="s">
        <v>9</v>
      </c>
      <c r="E141" s="1">
        <v>44868</v>
      </c>
      <c r="F141" t="s">
        <v>5</v>
      </c>
      <c r="G141">
        <v>13687</v>
      </c>
      <c r="H141">
        <v>366</v>
      </c>
      <c r="I141">
        <v>3.07</v>
      </c>
      <c r="J141">
        <v>39</v>
      </c>
      <c r="K141">
        <f t="shared" ref="K141:K143" ca="1" si="125">IF(F141="Enrolled", TODAY()-E141, "")</f>
        <v>1099</v>
      </c>
      <c r="M141">
        <f t="shared" ref="M141:M143" ca="1" si="126">IF(F141="Enrolled",TODAY() - E141,"")</f>
        <v>1099</v>
      </c>
      <c r="N141" t="str">
        <f t="shared" ref="N141:N143" si="127">IF(I143&gt;=3.5,"Excellent",IF(I143&gt;=3,"Good",IF(I143&gt;=2,"Average","Poor")))</f>
        <v>Average</v>
      </c>
      <c r="O141" t="e">
        <f t="shared" ref="O141:O143" si="128">VLOOKUP(D141, $T$18:$U$23, 2, FALSE)</f>
        <v>#N/A</v>
      </c>
      <c r="P141" t="str">
        <f t="shared" ref="P141:P143" si="129">IF(H141 &gt; 0.5 * G141, "YES", "NO")</f>
        <v>NO</v>
      </c>
      <c r="Q141">
        <f t="shared" si="116"/>
        <v>738757</v>
      </c>
      <c r="R141" t="str">
        <f t="shared" ref="R141:R143" si="130">IF(MONTH(E135)&gt;=6, YEAR(E135) &amp; "-" &amp; YEAR(E135)+1, YEAR(E135)-1 &amp; "-" &amp; YEAR(E135))</f>
        <v>2023-2024</v>
      </c>
    </row>
    <row r="142" spans="1:18" x14ac:dyDescent="0.25">
      <c r="A142" t="s">
        <v>365</v>
      </c>
      <c r="B142" t="s">
        <v>366</v>
      </c>
      <c r="C142" t="s">
        <v>55</v>
      </c>
      <c r="D142" t="s">
        <v>3</v>
      </c>
      <c r="E142" t="s">
        <v>367</v>
      </c>
      <c r="F142" t="s">
        <v>5</v>
      </c>
      <c r="G142">
        <v>14018</v>
      </c>
      <c r="H142">
        <v>463</v>
      </c>
      <c r="I142">
        <v>2.0699999999999998</v>
      </c>
      <c r="J142">
        <v>33</v>
      </c>
      <c r="K142">
        <f t="shared" ca="1" si="125"/>
        <v>1201</v>
      </c>
      <c r="M142">
        <f t="shared" ca="1" si="126"/>
        <v>1201</v>
      </c>
      <c r="N142" t="str">
        <f t="shared" si="127"/>
        <v>Average</v>
      </c>
      <c r="O142" t="e">
        <f t="shared" si="128"/>
        <v>#N/A</v>
      </c>
      <c r="P142" t="str">
        <f t="shared" si="129"/>
        <v>NO</v>
      </c>
      <c r="Q142">
        <f t="shared" si="116"/>
        <v>738757</v>
      </c>
      <c r="R142" t="str">
        <f t="shared" si="130"/>
        <v>2023-2024</v>
      </c>
    </row>
    <row r="143" spans="1:18" x14ac:dyDescent="0.25">
      <c r="A143" t="s">
        <v>368</v>
      </c>
      <c r="B143" t="s">
        <v>369</v>
      </c>
      <c r="C143" t="s">
        <v>58</v>
      </c>
      <c r="D143" t="s">
        <v>25</v>
      </c>
      <c r="E143" s="1">
        <v>44752</v>
      </c>
      <c r="F143" t="s">
        <v>5</v>
      </c>
      <c r="G143">
        <v>9817</v>
      </c>
      <c r="H143">
        <v>5564</v>
      </c>
      <c r="I143">
        <v>2.57</v>
      </c>
      <c r="J143">
        <v>48</v>
      </c>
      <c r="K143">
        <f t="shared" ca="1" si="125"/>
        <v>1215</v>
      </c>
      <c r="M143">
        <f t="shared" ca="1" si="126"/>
        <v>1215</v>
      </c>
      <c r="N143" t="str">
        <f t="shared" si="127"/>
        <v>Excellent</v>
      </c>
      <c r="O143" t="e">
        <f t="shared" si="128"/>
        <v>#N/A</v>
      </c>
      <c r="P143" t="str">
        <f t="shared" si="129"/>
        <v>YES</v>
      </c>
      <c r="Q143">
        <f t="shared" si="116"/>
        <v>738757</v>
      </c>
      <c r="R143" t="str">
        <f t="shared" si="130"/>
        <v>2022-2023</v>
      </c>
    </row>
    <row r="144" spans="1:18" hidden="1" x14ac:dyDescent="0.25">
      <c r="A144" t="s">
        <v>370</v>
      </c>
      <c r="B144" t="s">
        <v>371</v>
      </c>
      <c r="C144" t="s">
        <v>21</v>
      </c>
      <c r="D144" t="s">
        <v>3</v>
      </c>
      <c r="E144" t="s">
        <v>372</v>
      </c>
      <c r="F144" t="s">
        <v>11</v>
      </c>
      <c r="G144">
        <v>13150</v>
      </c>
      <c r="H144">
        <v>5003</v>
      </c>
      <c r="I144">
        <v>2.38</v>
      </c>
      <c r="J144">
        <v>87</v>
      </c>
      <c r="Q144">
        <f t="shared" si="116"/>
        <v>738757</v>
      </c>
    </row>
    <row r="145" spans="1:18" hidden="1" x14ac:dyDescent="0.25">
      <c r="A145" t="s">
        <v>373</v>
      </c>
      <c r="B145" t="s">
        <v>374</v>
      </c>
      <c r="C145" t="s">
        <v>21</v>
      </c>
      <c r="D145" t="s">
        <v>3</v>
      </c>
      <c r="E145" t="s">
        <v>375</v>
      </c>
      <c r="F145" t="s">
        <v>11</v>
      </c>
      <c r="G145">
        <v>14774</v>
      </c>
      <c r="H145">
        <v>3722</v>
      </c>
      <c r="I145">
        <v>3.78</v>
      </c>
      <c r="J145">
        <v>106</v>
      </c>
      <c r="Q145">
        <f t="shared" si="116"/>
        <v>738757</v>
      </c>
    </row>
    <row r="146" spans="1:18" x14ac:dyDescent="0.25">
      <c r="A146" t="s">
        <v>376</v>
      </c>
      <c r="B146" t="s">
        <v>377</v>
      </c>
      <c r="C146" t="s">
        <v>32</v>
      </c>
      <c r="D146" t="s">
        <v>25</v>
      </c>
      <c r="E146" t="s">
        <v>378</v>
      </c>
      <c r="F146" t="s">
        <v>5</v>
      </c>
      <c r="G146">
        <v>5340</v>
      </c>
      <c r="H146">
        <v>8997</v>
      </c>
      <c r="I146">
        <v>2.54</v>
      </c>
      <c r="J146">
        <v>59</v>
      </c>
      <c r="K146">
        <f t="shared" ref="K146" ca="1" si="131">IF(F146="Enrolled", TODAY()-E146, "")</f>
        <v>599</v>
      </c>
      <c r="M146">
        <f ca="1">IF(F146="Enrolled",TODAY() - E146,"")</f>
        <v>599</v>
      </c>
      <c r="N146" t="str">
        <f>IF(I148&gt;=3.5,"Excellent",IF(I148&gt;=3,"Good",IF(I148&gt;=2,"Average","Poor")))</f>
        <v>Good</v>
      </c>
      <c r="O146" t="e">
        <f>VLOOKUP(D146, $T$18:$U$23, 2, FALSE)</f>
        <v>#N/A</v>
      </c>
      <c r="P146" t="str">
        <f t="shared" ref="P146" si="132">IF(H146 &gt; 0.5 * G146, "YES", "NO")</f>
        <v>YES</v>
      </c>
      <c r="Q146">
        <f t="shared" si="116"/>
        <v>738757</v>
      </c>
      <c r="R146" t="str">
        <f>IF(MONTH(E140)&gt;=6, YEAR(E140) &amp; "-" &amp; YEAR(E140)+1, YEAR(E140)-1 &amp; "-" &amp; YEAR(E140))</f>
        <v>2022-2023</v>
      </c>
    </row>
    <row r="147" spans="1:18" hidden="1" x14ac:dyDescent="0.25">
      <c r="A147" t="s">
        <v>379</v>
      </c>
      <c r="B147" t="s">
        <v>380</v>
      </c>
      <c r="C147" t="s">
        <v>14</v>
      </c>
      <c r="D147" t="s">
        <v>25</v>
      </c>
      <c r="E147" t="s">
        <v>381</v>
      </c>
      <c r="F147" t="s">
        <v>11</v>
      </c>
      <c r="G147">
        <v>12094</v>
      </c>
      <c r="H147">
        <v>3403</v>
      </c>
      <c r="I147">
        <v>2.27</v>
      </c>
      <c r="J147">
        <v>69</v>
      </c>
      <c r="Q147">
        <f t="shared" si="116"/>
        <v>738757</v>
      </c>
    </row>
    <row r="148" spans="1:18" x14ac:dyDescent="0.25">
      <c r="A148" t="s">
        <v>382</v>
      </c>
      <c r="B148" t="s">
        <v>383</v>
      </c>
      <c r="C148" t="s">
        <v>55</v>
      </c>
      <c r="D148" t="s">
        <v>3</v>
      </c>
      <c r="E148" t="s">
        <v>384</v>
      </c>
      <c r="F148" t="s">
        <v>5</v>
      </c>
      <c r="G148">
        <v>14344</v>
      </c>
      <c r="H148">
        <v>1358</v>
      </c>
      <c r="I148">
        <v>3.34</v>
      </c>
      <c r="J148">
        <v>3</v>
      </c>
      <c r="K148">
        <f t="shared" ref="K148:K154" ca="1" si="133">IF(F148="Enrolled", TODAY()-E148, "")</f>
        <v>953</v>
      </c>
      <c r="M148">
        <f t="shared" ref="M148:M154" ca="1" si="134">IF(F148="Enrolled",TODAY() - E148,"")</f>
        <v>953</v>
      </c>
      <c r="N148" t="str">
        <f t="shared" ref="N148:N154" si="135">IF(I150&gt;=3.5,"Excellent",IF(I150&gt;=3,"Good",IF(I150&gt;=2,"Average","Poor")))</f>
        <v>Average</v>
      </c>
      <c r="O148" t="e">
        <f t="shared" ref="O148:O154" si="136">VLOOKUP(D148, $T$18:$U$23, 2, FALSE)</f>
        <v>#N/A</v>
      </c>
      <c r="P148" t="str">
        <f t="shared" ref="P148:P154" si="137">IF(H148 &gt; 0.5 * G148, "YES", "NO")</f>
        <v>NO</v>
      </c>
      <c r="Q148">
        <f t="shared" si="116"/>
        <v>738757</v>
      </c>
      <c r="R148" t="str">
        <f t="shared" ref="R148:R154" si="138">IF(MONTH(E142)&gt;=6, YEAR(E142) &amp; "-" &amp; YEAR(E142)+1, YEAR(E142)-1 &amp; "-" &amp; YEAR(E142))</f>
        <v>2022-2023</v>
      </c>
    </row>
    <row r="149" spans="1:18" x14ac:dyDescent="0.25">
      <c r="A149" t="s">
        <v>385</v>
      </c>
      <c r="B149" t="s">
        <v>386</v>
      </c>
      <c r="C149" t="s">
        <v>55</v>
      </c>
      <c r="D149" t="s">
        <v>9</v>
      </c>
      <c r="E149" t="s">
        <v>387</v>
      </c>
      <c r="F149" t="s">
        <v>5</v>
      </c>
      <c r="G149">
        <v>7247</v>
      </c>
      <c r="H149">
        <v>6919</v>
      </c>
      <c r="I149">
        <v>2.27</v>
      </c>
      <c r="J149">
        <v>109</v>
      </c>
      <c r="K149">
        <f t="shared" ca="1" si="133"/>
        <v>1173</v>
      </c>
      <c r="M149">
        <f t="shared" ca="1" si="134"/>
        <v>1173</v>
      </c>
      <c r="N149" t="str">
        <f t="shared" si="135"/>
        <v>Average</v>
      </c>
      <c r="O149" t="e">
        <f t="shared" si="136"/>
        <v>#N/A</v>
      </c>
      <c r="P149" t="str">
        <f t="shared" si="137"/>
        <v>YES</v>
      </c>
      <c r="Q149">
        <f t="shared" si="116"/>
        <v>738757</v>
      </c>
      <c r="R149" t="str">
        <f t="shared" si="138"/>
        <v>2022-2023</v>
      </c>
    </row>
    <row r="150" spans="1:18" x14ac:dyDescent="0.25">
      <c r="A150" t="s">
        <v>388</v>
      </c>
      <c r="B150" t="s">
        <v>389</v>
      </c>
      <c r="C150" t="s">
        <v>32</v>
      </c>
      <c r="D150" t="s">
        <v>65</v>
      </c>
      <c r="E150" t="s">
        <v>390</v>
      </c>
      <c r="F150" t="s">
        <v>5</v>
      </c>
      <c r="G150">
        <v>8141</v>
      </c>
      <c r="H150">
        <v>427</v>
      </c>
      <c r="I150">
        <v>2.17</v>
      </c>
      <c r="J150">
        <v>113</v>
      </c>
      <c r="K150">
        <f t="shared" ca="1" si="133"/>
        <v>829</v>
      </c>
      <c r="M150">
        <f t="shared" ca="1" si="134"/>
        <v>829</v>
      </c>
      <c r="N150" t="str">
        <f t="shared" si="135"/>
        <v>Average</v>
      </c>
      <c r="O150" t="e">
        <f t="shared" si="136"/>
        <v>#N/A</v>
      </c>
      <c r="P150" t="str">
        <f t="shared" si="137"/>
        <v>NO</v>
      </c>
      <c r="Q150">
        <f t="shared" si="116"/>
        <v>738757</v>
      </c>
      <c r="R150" t="str">
        <f t="shared" si="138"/>
        <v>2022-2023</v>
      </c>
    </row>
    <row r="151" spans="1:18" x14ac:dyDescent="0.25">
      <c r="A151" t="s">
        <v>391</v>
      </c>
      <c r="B151" t="s">
        <v>392</v>
      </c>
      <c r="C151" t="s">
        <v>55</v>
      </c>
      <c r="D151" t="s">
        <v>65</v>
      </c>
      <c r="E151" t="s">
        <v>393</v>
      </c>
      <c r="F151" t="s">
        <v>5</v>
      </c>
      <c r="G151">
        <v>9809</v>
      </c>
      <c r="H151">
        <v>8641</v>
      </c>
      <c r="I151">
        <v>2.4</v>
      </c>
      <c r="J151">
        <v>87</v>
      </c>
      <c r="K151">
        <f t="shared" ca="1" si="133"/>
        <v>1271</v>
      </c>
      <c r="M151">
        <f t="shared" ca="1" si="134"/>
        <v>1271</v>
      </c>
      <c r="N151" t="str">
        <f t="shared" si="135"/>
        <v>Average</v>
      </c>
      <c r="O151" t="e">
        <f t="shared" si="136"/>
        <v>#N/A</v>
      </c>
      <c r="P151" t="str">
        <f t="shared" si="137"/>
        <v>YES</v>
      </c>
      <c r="Q151">
        <f t="shared" ref="Q151:Q182" si="139">SUMIFS(G151:G1349, F151:F1349, "Completed", D151:D1349, "Science")</f>
        <v>738757</v>
      </c>
      <c r="R151" t="str">
        <f t="shared" si="138"/>
        <v>2023-2024</v>
      </c>
    </row>
    <row r="152" spans="1:18" x14ac:dyDescent="0.25">
      <c r="A152" t="s">
        <v>394</v>
      </c>
      <c r="B152" t="s">
        <v>395</v>
      </c>
      <c r="C152" t="s">
        <v>8</v>
      </c>
      <c r="D152" t="s">
        <v>9</v>
      </c>
      <c r="E152" s="1">
        <v>44661</v>
      </c>
      <c r="F152" t="s">
        <v>5</v>
      </c>
      <c r="G152">
        <v>10454</v>
      </c>
      <c r="H152">
        <v>3317</v>
      </c>
      <c r="I152">
        <v>2.06</v>
      </c>
      <c r="J152">
        <v>29</v>
      </c>
      <c r="K152">
        <f t="shared" ca="1" si="133"/>
        <v>1306</v>
      </c>
      <c r="M152">
        <f t="shared" ca="1" si="134"/>
        <v>1306</v>
      </c>
      <c r="N152" t="str">
        <f t="shared" si="135"/>
        <v>Good</v>
      </c>
      <c r="O152" t="e">
        <f t="shared" si="136"/>
        <v>#N/A</v>
      </c>
      <c r="P152" t="str">
        <f t="shared" si="137"/>
        <v>NO</v>
      </c>
      <c r="Q152">
        <f t="shared" si="139"/>
        <v>738757</v>
      </c>
      <c r="R152" t="str">
        <f t="shared" si="138"/>
        <v>2023-2024</v>
      </c>
    </row>
    <row r="153" spans="1:18" x14ac:dyDescent="0.25">
      <c r="A153" t="s">
        <v>396</v>
      </c>
      <c r="B153" t="s">
        <v>397</v>
      </c>
      <c r="C153" t="s">
        <v>55</v>
      </c>
      <c r="D153" t="s">
        <v>9</v>
      </c>
      <c r="E153" t="s">
        <v>398</v>
      </c>
      <c r="F153" t="s">
        <v>5</v>
      </c>
      <c r="G153">
        <v>10121</v>
      </c>
      <c r="H153">
        <v>466</v>
      </c>
      <c r="I153">
        <v>2.3199999999999998</v>
      </c>
      <c r="J153">
        <v>90</v>
      </c>
      <c r="K153">
        <f t="shared" ca="1" si="133"/>
        <v>803</v>
      </c>
      <c r="M153">
        <f t="shared" ca="1" si="134"/>
        <v>803</v>
      </c>
      <c r="N153" t="str">
        <f t="shared" si="135"/>
        <v>Average</v>
      </c>
      <c r="O153" t="e">
        <f t="shared" si="136"/>
        <v>#N/A</v>
      </c>
      <c r="P153" t="str">
        <f t="shared" si="137"/>
        <v>NO</v>
      </c>
      <c r="Q153">
        <f t="shared" si="139"/>
        <v>738757</v>
      </c>
      <c r="R153" t="str">
        <f t="shared" si="138"/>
        <v>2021-2022</v>
      </c>
    </row>
    <row r="154" spans="1:18" x14ac:dyDescent="0.25">
      <c r="A154" t="s">
        <v>399</v>
      </c>
      <c r="B154" t="s">
        <v>400</v>
      </c>
      <c r="C154" t="s">
        <v>32</v>
      </c>
      <c r="D154" t="s">
        <v>25</v>
      </c>
      <c r="E154" t="s">
        <v>401</v>
      </c>
      <c r="F154" t="s">
        <v>5</v>
      </c>
      <c r="G154">
        <v>4736</v>
      </c>
      <c r="H154">
        <v>3962</v>
      </c>
      <c r="I154">
        <v>3.01</v>
      </c>
      <c r="J154">
        <v>17</v>
      </c>
      <c r="K154">
        <f t="shared" ca="1" si="133"/>
        <v>527</v>
      </c>
      <c r="M154">
        <f t="shared" ca="1" si="134"/>
        <v>527</v>
      </c>
      <c r="N154" t="str">
        <f t="shared" si="135"/>
        <v>Excellent</v>
      </c>
      <c r="O154" t="e">
        <f t="shared" si="136"/>
        <v>#N/A</v>
      </c>
      <c r="P154" t="str">
        <f t="shared" si="137"/>
        <v>YES</v>
      </c>
      <c r="Q154">
        <f t="shared" si="139"/>
        <v>738757</v>
      </c>
      <c r="R154" t="str">
        <f t="shared" si="138"/>
        <v>2022-2023</v>
      </c>
    </row>
    <row r="155" spans="1:18" hidden="1" x14ac:dyDescent="0.25">
      <c r="A155" t="s">
        <v>402</v>
      </c>
      <c r="B155" t="s">
        <v>403</v>
      </c>
      <c r="C155" t="s">
        <v>21</v>
      </c>
      <c r="D155" t="s">
        <v>25</v>
      </c>
      <c r="E155" t="s">
        <v>404</v>
      </c>
      <c r="F155" t="s">
        <v>36</v>
      </c>
      <c r="G155">
        <v>9014</v>
      </c>
      <c r="H155">
        <v>3013</v>
      </c>
      <c r="I155">
        <v>2.99</v>
      </c>
      <c r="J155">
        <v>45</v>
      </c>
      <c r="Q155">
        <f t="shared" si="139"/>
        <v>738757</v>
      </c>
    </row>
    <row r="156" spans="1:18" x14ac:dyDescent="0.25">
      <c r="A156" t="s">
        <v>405</v>
      </c>
      <c r="B156" t="s">
        <v>406</v>
      </c>
      <c r="C156" t="s">
        <v>2</v>
      </c>
      <c r="D156" t="s">
        <v>9</v>
      </c>
      <c r="E156" t="s">
        <v>407</v>
      </c>
      <c r="F156" t="s">
        <v>5</v>
      </c>
      <c r="G156">
        <v>2715</v>
      </c>
      <c r="H156">
        <v>5649</v>
      </c>
      <c r="I156">
        <v>3.53</v>
      </c>
      <c r="J156">
        <v>0</v>
      </c>
      <c r="K156">
        <f t="shared" ref="K156:K157" ca="1" si="140">IF(F156="Enrolled", TODAY()-E156, "")</f>
        <v>508</v>
      </c>
      <c r="M156">
        <f t="shared" ref="M156:M157" ca="1" si="141">IF(F156="Enrolled",TODAY() - E156,"")</f>
        <v>508</v>
      </c>
      <c r="N156" t="str">
        <f t="shared" ref="N156:N157" si="142">IF(I158&gt;=3.5,"Excellent",IF(I158&gt;=3,"Good",IF(I158&gt;=2,"Average","Poor")))</f>
        <v>Average</v>
      </c>
      <c r="O156" t="e">
        <f t="shared" ref="O156:O157" si="143">VLOOKUP(D156, $T$18:$U$23, 2, FALSE)</f>
        <v>#N/A</v>
      </c>
      <c r="P156" t="str">
        <f t="shared" ref="P156:P157" si="144">IF(H156 &gt; 0.5 * G156, "YES", "NO")</f>
        <v>YES</v>
      </c>
      <c r="Q156">
        <f t="shared" si="139"/>
        <v>738757</v>
      </c>
      <c r="R156" t="str">
        <f t="shared" ref="R156:R157" si="145">IF(MONTH(E150)&gt;=6, YEAR(E150) &amp; "-" &amp; YEAR(E150)+1, YEAR(E150)-1 &amp; "-" &amp; YEAR(E150))</f>
        <v>2023-2024</v>
      </c>
    </row>
    <row r="157" spans="1:18" x14ac:dyDescent="0.25">
      <c r="A157" t="s">
        <v>408</v>
      </c>
      <c r="B157" t="s">
        <v>409</v>
      </c>
      <c r="C157" t="s">
        <v>2</v>
      </c>
      <c r="D157" t="s">
        <v>9</v>
      </c>
      <c r="E157" t="s">
        <v>372</v>
      </c>
      <c r="F157" t="s">
        <v>5</v>
      </c>
      <c r="G157">
        <v>13742</v>
      </c>
      <c r="H157">
        <v>7678</v>
      </c>
      <c r="I157">
        <v>2.35</v>
      </c>
      <c r="J157">
        <v>38</v>
      </c>
      <c r="K157">
        <f t="shared" ca="1" si="140"/>
        <v>967</v>
      </c>
      <c r="M157">
        <f t="shared" ca="1" si="141"/>
        <v>967</v>
      </c>
      <c r="N157" t="str">
        <f t="shared" si="142"/>
        <v>Good</v>
      </c>
      <c r="O157" t="e">
        <f t="shared" si="143"/>
        <v>#N/A</v>
      </c>
      <c r="P157" t="str">
        <f t="shared" si="144"/>
        <v>YES</v>
      </c>
      <c r="Q157">
        <f t="shared" si="139"/>
        <v>738757</v>
      </c>
      <c r="R157" t="str">
        <f t="shared" si="145"/>
        <v>2021-2022</v>
      </c>
    </row>
    <row r="158" spans="1:18" hidden="1" x14ac:dyDescent="0.25">
      <c r="A158" t="s">
        <v>410</v>
      </c>
      <c r="B158" t="s">
        <v>411</v>
      </c>
      <c r="C158" t="s">
        <v>32</v>
      </c>
      <c r="D158" t="s">
        <v>65</v>
      </c>
      <c r="E158" s="1">
        <v>44900</v>
      </c>
      <c r="F158" t="s">
        <v>11</v>
      </c>
      <c r="G158">
        <v>3617</v>
      </c>
      <c r="H158">
        <v>3075</v>
      </c>
      <c r="I158">
        <v>2.81</v>
      </c>
      <c r="J158">
        <v>5</v>
      </c>
      <c r="Q158">
        <f t="shared" si="139"/>
        <v>738757</v>
      </c>
    </row>
    <row r="159" spans="1:18" hidden="1" x14ac:dyDescent="0.25">
      <c r="A159" t="s">
        <v>412</v>
      </c>
      <c r="B159" t="s">
        <v>413</v>
      </c>
      <c r="C159" t="s">
        <v>2</v>
      </c>
      <c r="D159" t="s">
        <v>25</v>
      </c>
      <c r="E159" t="s">
        <v>414</v>
      </c>
      <c r="F159" t="s">
        <v>11</v>
      </c>
      <c r="G159">
        <v>13091</v>
      </c>
      <c r="H159">
        <v>8135</v>
      </c>
      <c r="I159">
        <v>3.49</v>
      </c>
      <c r="J159">
        <v>0</v>
      </c>
      <c r="Q159">
        <f t="shared" si="139"/>
        <v>738757</v>
      </c>
    </row>
    <row r="160" spans="1:18" hidden="1" x14ac:dyDescent="0.25">
      <c r="A160" t="s">
        <v>415</v>
      </c>
      <c r="B160" t="s">
        <v>416</v>
      </c>
      <c r="C160" t="s">
        <v>21</v>
      </c>
      <c r="D160" t="s">
        <v>9</v>
      </c>
      <c r="E160" t="s">
        <v>417</v>
      </c>
      <c r="F160" t="s">
        <v>36</v>
      </c>
      <c r="G160">
        <v>11936</v>
      </c>
      <c r="H160">
        <v>8739</v>
      </c>
      <c r="I160">
        <v>2.5299999999999998</v>
      </c>
      <c r="J160">
        <v>93</v>
      </c>
      <c r="Q160">
        <f t="shared" si="139"/>
        <v>738757</v>
      </c>
    </row>
    <row r="161" spans="1:18" x14ac:dyDescent="0.25">
      <c r="A161" t="s">
        <v>418</v>
      </c>
      <c r="B161" t="s">
        <v>419</v>
      </c>
      <c r="C161" t="s">
        <v>2</v>
      </c>
      <c r="D161" t="s">
        <v>3</v>
      </c>
      <c r="E161" t="s">
        <v>420</v>
      </c>
      <c r="F161" t="s">
        <v>5</v>
      </c>
      <c r="G161">
        <v>14162</v>
      </c>
      <c r="H161">
        <v>7133</v>
      </c>
      <c r="I161">
        <v>3.75</v>
      </c>
      <c r="J161">
        <v>115</v>
      </c>
      <c r="K161">
        <f t="shared" ref="K161:K162" ca="1" si="146">IF(F161="Enrolled", TODAY()-E161, "")</f>
        <v>1362</v>
      </c>
      <c r="M161">
        <f t="shared" ref="M161:M162" ca="1" si="147">IF(F161="Enrolled",TODAY() - E161,"")</f>
        <v>1362</v>
      </c>
      <c r="N161" t="str">
        <f t="shared" ref="N161:N162" si="148">IF(I163&gt;=3.5,"Excellent",IF(I163&gt;=3,"Good",IF(I163&gt;=2,"Average","Poor")))</f>
        <v>Excellent</v>
      </c>
      <c r="O161" t="e">
        <f t="shared" ref="O161:O162" si="149">VLOOKUP(D161, $T$18:$U$23, 2, FALSE)</f>
        <v>#N/A</v>
      </c>
      <c r="P161" t="str">
        <f t="shared" ref="P161:P162" si="150">IF(H161 &gt; 0.5 * G161, "YES", "NO")</f>
        <v>YES</v>
      </c>
      <c r="Q161">
        <f t="shared" si="139"/>
        <v>738757</v>
      </c>
      <c r="R161" t="str">
        <f t="shared" ref="R161:R162" si="151">IF(MONTH(E155)&gt;=6, YEAR(E155) &amp; "-" &amp; YEAR(E155)+1, YEAR(E155)-1 &amp; "-" &amp; YEAR(E155))</f>
        <v>2021-2022</v>
      </c>
    </row>
    <row r="162" spans="1:18" x14ac:dyDescent="0.25">
      <c r="A162" t="s">
        <v>421</v>
      </c>
      <c r="B162" t="s">
        <v>422</v>
      </c>
      <c r="C162" t="s">
        <v>21</v>
      </c>
      <c r="D162" t="s">
        <v>3</v>
      </c>
      <c r="E162" t="s">
        <v>381</v>
      </c>
      <c r="F162" t="s">
        <v>5</v>
      </c>
      <c r="G162">
        <v>12730</v>
      </c>
      <c r="H162">
        <v>8258</v>
      </c>
      <c r="I162">
        <v>3.22</v>
      </c>
      <c r="J162">
        <v>99</v>
      </c>
      <c r="K162">
        <f t="shared" ca="1" si="146"/>
        <v>1388</v>
      </c>
      <c r="M162">
        <f t="shared" ca="1" si="147"/>
        <v>1388</v>
      </c>
      <c r="N162" t="str">
        <f t="shared" si="148"/>
        <v>Good</v>
      </c>
      <c r="O162" t="e">
        <f t="shared" si="149"/>
        <v>#N/A</v>
      </c>
      <c r="P162" t="str">
        <f t="shared" si="150"/>
        <v>YES</v>
      </c>
      <c r="Q162">
        <f t="shared" si="139"/>
        <v>738757</v>
      </c>
      <c r="R162" t="str">
        <f t="shared" si="151"/>
        <v>2024-2025</v>
      </c>
    </row>
    <row r="163" spans="1:18" hidden="1" x14ac:dyDescent="0.25">
      <c r="A163" t="s">
        <v>423</v>
      </c>
      <c r="B163" t="s">
        <v>424</v>
      </c>
      <c r="C163" t="s">
        <v>58</v>
      </c>
      <c r="D163" t="s">
        <v>9</v>
      </c>
      <c r="E163" t="s">
        <v>425</v>
      </c>
      <c r="F163" t="s">
        <v>11</v>
      </c>
      <c r="G163">
        <v>12837</v>
      </c>
      <c r="H163">
        <v>3765</v>
      </c>
      <c r="I163">
        <v>3.52</v>
      </c>
      <c r="J163">
        <v>105</v>
      </c>
      <c r="Q163">
        <f t="shared" si="139"/>
        <v>738757</v>
      </c>
    </row>
    <row r="164" spans="1:18" hidden="1" x14ac:dyDescent="0.25">
      <c r="A164" t="s">
        <v>426</v>
      </c>
      <c r="B164" t="s">
        <v>427</v>
      </c>
      <c r="C164" t="s">
        <v>21</v>
      </c>
      <c r="D164" t="s">
        <v>25</v>
      </c>
      <c r="E164" s="1">
        <v>45173</v>
      </c>
      <c r="F164" t="s">
        <v>36</v>
      </c>
      <c r="G164">
        <v>6301</v>
      </c>
      <c r="H164">
        <v>527</v>
      </c>
      <c r="I164">
        <v>3.23</v>
      </c>
      <c r="J164">
        <v>117</v>
      </c>
      <c r="Q164">
        <f t="shared" si="139"/>
        <v>725920</v>
      </c>
    </row>
    <row r="165" spans="1:18" x14ac:dyDescent="0.25">
      <c r="A165" t="s">
        <v>428</v>
      </c>
      <c r="B165" t="s">
        <v>429</v>
      </c>
      <c r="C165" t="s">
        <v>32</v>
      </c>
      <c r="D165" t="s">
        <v>25</v>
      </c>
      <c r="E165" t="s">
        <v>414</v>
      </c>
      <c r="F165" t="s">
        <v>5</v>
      </c>
      <c r="G165">
        <v>12857</v>
      </c>
      <c r="H165">
        <v>2010</v>
      </c>
      <c r="I165">
        <v>2.76</v>
      </c>
      <c r="J165">
        <v>4</v>
      </c>
      <c r="K165">
        <f t="shared" ref="K165:K166" ca="1" si="152">IF(F165="Enrolled", TODAY()-E165, "")</f>
        <v>1261</v>
      </c>
      <c r="M165">
        <f t="shared" ref="M165:M166" ca="1" si="153">IF(F165="Enrolled",TODAY() - E165,"")</f>
        <v>1261</v>
      </c>
      <c r="N165" t="str">
        <f t="shared" ref="N165:N166" si="154">IF(I167&gt;=3.5,"Excellent",IF(I167&gt;=3,"Good",IF(I167&gt;=2,"Average","Poor")))</f>
        <v>Excellent</v>
      </c>
      <c r="O165" t="e">
        <f t="shared" ref="O165:O166" si="155">VLOOKUP(D165, $T$18:$U$23, 2, FALSE)</f>
        <v>#N/A</v>
      </c>
      <c r="P165" t="str">
        <f t="shared" ref="P165:P166" si="156">IF(H165 &gt; 0.5 * G165, "YES", "NO")</f>
        <v>NO</v>
      </c>
      <c r="Q165">
        <f t="shared" si="139"/>
        <v>725920</v>
      </c>
      <c r="R165" t="str">
        <f t="shared" ref="R165:R166" si="157">IF(MONTH(E159)&gt;=6, YEAR(E159) &amp; "-" &amp; YEAR(E159)+1, YEAR(E159)-1 &amp; "-" &amp; YEAR(E159))</f>
        <v>2021-2022</v>
      </c>
    </row>
    <row r="166" spans="1:18" x14ac:dyDescent="0.25">
      <c r="A166" t="s">
        <v>430</v>
      </c>
      <c r="B166" t="s">
        <v>431</v>
      </c>
      <c r="C166" t="s">
        <v>17</v>
      </c>
      <c r="D166" t="s">
        <v>3</v>
      </c>
      <c r="E166" t="s">
        <v>432</v>
      </c>
      <c r="F166" t="s">
        <v>5</v>
      </c>
      <c r="G166">
        <v>10432</v>
      </c>
      <c r="H166">
        <v>8752</v>
      </c>
      <c r="I166">
        <v>3.08</v>
      </c>
      <c r="J166">
        <v>77</v>
      </c>
      <c r="K166">
        <f t="shared" ca="1" si="152"/>
        <v>1164</v>
      </c>
      <c r="M166">
        <f t="shared" ca="1" si="153"/>
        <v>1164</v>
      </c>
      <c r="N166" t="str">
        <f t="shared" si="154"/>
        <v>Excellent</v>
      </c>
      <c r="O166" t="e">
        <f t="shared" si="155"/>
        <v>#N/A</v>
      </c>
      <c r="P166" t="str">
        <f t="shared" si="156"/>
        <v>YES</v>
      </c>
      <c r="Q166">
        <f t="shared" si="139"/>
        <v>725920</v>
      </c>
      <c r="R166" t="str">
        <f t="shared" si="157"/>
        <v>2023-2024</v>
      </c>
    </row>
    <row r="167" spans="1:18" hidden="1" x14ac:dyDescent="0.25">
      <c r="A167" t="s">
        <v>433</v>
      </c>
      <c r="B167" t="s">
        <v>434</v>
      </c>
      <c r="C167" t="s">
        <v>17</v>
      </c>
      <c r="D167" t="s">
        <v>9</v>
      </c>
      <c r="E167" s="1">
        <v>44661</v>
      </c>
      <c r="F167" t="s">
        <v>11</v>
      </c>
      <c r="G167">
        <v>11825</v>
      </c>
      <c r="H167">
        <v>9226</v>
      </c>
      <c r="I167">
        <v>3.93</v>
      </c>
      <c r="J167">
        <v>43</v>
      </c>
      <c r="Q167">
        <f t="shared" si="139"/>
        <v>725920</v>
      </c>
    </row>
    <row r="168" spans="1:18" x14ac:dyDescent="0.25">
      <c r="A168" t="s">
        <v>435</v>
      </c>
      <c r="B168" t="s">
        <v>436</v>
      </c>
      <c r="C168" t="s">
        <v>8</v>
      </c>
      <c r="D168" t="s">
        <v>65</v>
      </c>
      <c r="E168" s="1">
        <v>44969</v>
      </c>
      <c r="F168" t="s">
        <v>5</v>
      </c>
      <c r="G168">
        <v>3474</v>
      </c>
      <c r="H168">
        <v>3909</v>
      </c>
      <c r="I168">
        <v>3.89</v>
      </c>
      <c r="J168">
        <v>111</v>
      </c>
      <c r="K168">
        <f t="shared" ref="K168" ca="1" si="158">IF(F168="Enrolled", TODAY()-E168, "")</f>
        <v>998</v>
      </c>
      <c r="M168">
        <f ca="1">IF(F168="Enrolled",TODAY() - E168,"")</f>
        <v>998</v>
      </c>
      <c r="N168" t="str">
        <f>IF(I170&gt;=3.5,"Excellent",IF(I170&gt;=3,"Good",IF(I170&gt;=2,"Average","Poor")))</f>
        <v>Average</v>
      </c>
      <c r="O168" t="e">
        <f>VLOOKUP(D168, $T$18:$U$23, 2, FALSE)</f>
        <v>#N/A</v>
      </c>
      <c r="P168" t="str">
        <f t="shared" ref="P168" si="159">IF(H168 &gt; 0.5 * G168, "YES", "NO")</f>
        <v>YES</v>
      </c>
      <c r="Q168">
        <f t="shared" si="139"/>
        <v>714095</v>
      </c>
      <c r="R168" t="str">
        <f>IF(MONTH(E162)&gt;=6, YEAR(E162) &amp; "-" &amp; YEAR(E162)+1, YEAR(E162)-1 &amp; "-" &amp; YEAR(E162))</f>
        <v>2021-2022</v>
      </c>
    </row>
    <row r="169" spans="1:18" hidden="1" x14ac:dyDescent="0.25">
      <c r="A169" t="s">
        <v>437</v>
      </c>
      <c r="B169" t="s">
        <v>438</v>
      </c>
      <c r="C169" t="s">
        <v>14</v>
      </c>
      <c r="D169" t="s">
        <v>3</v>
      </c>
      <c r="E169" t="s">
        <v>439</v>
      </c>
      <c r="F169" t="s">
        <v>11</v>
      </c>
      <c r="G169">
        <v>14567</v>
      </c>
      <c r="H169">
        <v>6117</v>
      </c>
      <c r="I169">
        <v>2.2400000000000002</v>
      </c>
      <c r="J169">
        <v>9</v>
      </c>
      <c r="Q169">
        <f t="shared" si="139"/>
        <v>714095</v>
      </c>
    </row>
    <row r="170" spans="1:18" x14ac:dyDescent="0.25">
      <c r="A170" t="s">
        <v>440</v>
      </c>
      <c r="B170" t="s">
        <v>441</v>
      </c>
      <c r="C170" t="s">
        <v>55</v>
      </c>
      <c r="D170" t="s">
        <v>25</v>
      </c>
      <c r="E170" s="1">
        <v>45108</v>
      </c>
      <c r="F170" t="s">
        <v>5</v>
      </c>
      <c r="G170">
        <v>12381</v>
      </c>
      <c r="H170">
        <v>5712</v>
      </c>
      <c r="I170">
        <v>2.57</v>
      </c>
      <c r="J170">
        <v>104</v>
      </c>
      <c r="K170">
        <f t="shared" ref="K170:K172" ca="1" si="160">IF(F170="Enrolled", TODAY()-E170, "")</f>
        <v>859</v>
      </c>
      <c r="M170">
        <f t="shared" ref="M170:M172" ca="1" si="161">IF(F170="Enrolled",TODAY() - E170,"")</f>
        <v>859</v>
      </c>
      <c r="N170" t="str">
        <f t="shared" ref="N170:N172" si="162">IF(I172&gt;=3.5,"Excellent",IF(I172&gt;=3,"Good",IF(I172&gt;=2,"Average","Poor")))</f>
        <v>Average</v>
      </c>
      <c r="O170" t="e">
        <f t="shared" ref="O170:O172" si="163">VLOOKUP(D170, $T$18:$U$23, 2, FALSE)</f>
        <v>#N/A</v>
      </c>
      <c r="P170" t="str">
        <f t="shared" ref="P170:P172" si="164">IF(H170 &gt; 0.5 * G170, "YES", "NO")</f>
        <v>NO</v>
      </c>
      <c r="Q170">
        <f t="shared" si="139"/>
        <v>714095</v>
      </c>
      <c r="R170" t="str">
        <f t="shared" ref="R170:R172" si="165">IF(MONTH(E164)&gt;=6, YEAR(E164) &amp; "-" &amp; YEAR(E164)+1, YEAR(E164)-1 &amp; "-" &amp; YEAR(E164))</f>
        <v>2023-2024</v>
      </c>
    </row>
    <row r="171" spans="1:18" x14ac:dyDescent="0.25">
      <c r="A171" t="s">
        <v>442</v>
      </c>
      <c r="B171" t="s">
        <v>443</v>
      </c>
      <c r="C171" t="s">
        <v>8</v>
      </c>
      <c r="D171" t="s">
        <v>9</v>
      </c>
      <c r="E171" s="1">
        <v>45386</v>
      </c>
      <c r="F171" t="s">
        <v>5</v>
      </c>
      <c r="G171">
        <v>14324</v>
      </c>
      <c r="H171">
        <v>3842</v>
      </c>
      <c r="I171">
        <v>3.29</v>
      </c>
      <c r="J171">
        <v>36</v>
      </c>
      <c r="K171">
        <f t="shared" ca="1" si="160"/>
        <v>581</v>
      </c>
      <c r="M171">
        <f t="shared" ca="1" si="161"/>
        <v>581</v>
      </c>
      <c r="N171" t="str">
        <f t="shared" si="162"/>
        <v>Good</v>
      </c>
      <c r="O171" t="e">
        <f t="shared" si="163"/>
        <v>#N/A</v>
      </c>
      <c r="P171" t="str">
        <f t="shared" si="164"/>
        <v>NO</v>
      </c>
      <c r="Q171">
        <f t="shared" si="139"/>
        <v>714095</v>
      </c>
      <c r="R171" t="str">
        <f t="shared" si="165"/>
        <v>2021-2022</v>
      </c>
    </row>
    <row r="172" spans="1:18" x14ac:dyDescent="0.25">
      <c r="A172" t="s">
        <v>444</v>
      </c>
      <c r="B172" t="s">
        <v>445</v>
      </c>
      <c r="C172" t="s">
        <v>21</v>
      </c>
      <c r="D172" t="s">
        <v>65</v>
      </c>
      <c r="E172" t="s">
        <v>446</v>
      </c>
      <c r="F172" t="s">
        <v>5</v>
      </c>
      <c r="G172">
        <v>12649</v>
      </c>
      <c r="H172">
        <v>5633</v>
      </c>
      <c r="I172">
        <v>2.2999999999999998</v>
      </c>
      <c r="J172">
        <v>77</v>
      </c>
      <c r="K172">
        <f t="shared" ca="1" si="160"/>
        <v>779</v>
      </c>
      <c r="M172">
        <f t="shared" ca="1" si="161"/>
        <v>779</v>
      </c>
      <c r="N172" t="str">
        <f t="shared" si="162"/>
        <v>Good</v>
      </c>
      <c r="O172" t="e">
        <f t="shared" si="163"/>
        <v>#N/A</v>
      </c>
      <c r="P172" t="str">
        <f t="shared" si="164"/>
        <v>NO</v>
      </c>
      <c r="Q172">
        <f t="shared" si="139"/>
        <v>714095</v>
      </c>
      <c r="R172" t="str">
        <f t="shared" si="165"/>
        <v>2022-2023</v>
      </c>
    </row>
    <row r="173" spans="1:18" hidden="1" x14ac:dyDescent="0.25">
      <c r="A173" t="s">
        <v>447</v>
      </c>
      <c r="B173" t="s">
        <v>448</v>
      </c>
      <c r="C173" t="s">
        <v>17</v>
      </c>
      <c r="D173" t="s">
        <v>3</v>
      </c>
      <c r="E173" t="s">
        <v>449</v>
      </c>
      <c r="F173" t="s">
        <v>11</v>
      </c>
      <c r="G173">
        <v>14074</v>
      </c>
      <c r="H173">
        <v>6861</v>
      </c>
      <c r="I173">
        <v>3.43</v>
      </c>
      <c r="J173">
        <v>82</v>
      </c>
      <c r="Q173">
        <f t="shared" si="139"/>
        <v>714095</v>
      </c>
    </row>
    <row r="174" spans="1:18" hidden="1" x14ac:dyDescent="0.25">
      <c r="A174" t="s">
        <v>450</v>
      </c>
      <c r="B174" t="s">
        <v>451</v>
      </c>
      <c r="C174" t="s">
        <v>2</v>
      </c>
      <c r="D174" t="s">
        <v>65</v>
      </c>
      <c r="E174" s="1">
        <v>45414</v>
      </c>
      <c r="F174" t="s">
        <v>11</v>
      </c>
      <c r="G174">
        <v>3427</v>
      </c>
      <c r="H174">
        <v>4126</v>
      </c>
      <c r="I174">
        <v>3.35</v>
      </c>
      <c r="J174">
        <v>24</v>
      </c>
      <c r="Q174">
        <f t="shared" si="139"/>
        <v>714095</v>
      </c>
    </row>
    <row r="175" spans="1:18" x14ac:dyDescent="0.25">
      <c r="A175" t="s">
        <v>452</v>
      </c>
      <c r="B175" t="s">
        <v>453</v>
      </c>
      <c r="C175" t="s">
        <v>8</v>
      </c>
      <c r="D175" t="s">
        <v>3</v>
      </c>
      <c r="E175" t="s">
        <v>454</v>
      </c>
      <c r="F175" t="s">
        <v>5</v>
      </c>
      <c r="G175">
        <v>12397</v>
      </c>
      <c r="H175">
        <v>1786</v>
      </c>
      <c r="I175">
        <v>3.54</v>
      </c>
      <c r="J175">
        <v>60</v>
      </c>
      <c r="K175">
        <f t="shared" ref="K175" ca="1" si="166">IF(F175="Enrolled", TODAY()-E175, "")</f>
        <v>1379</v>
      </c>
      <c r="M175">
        <f ca="1">IF(F175="Enrolled",TODAY() - E175,"")</f>
        <v>1379</v>
      </c>
      <c r="N175" t="str">
        <f>IF(I177&gt;=3.5,"Excellent",IF(I177&gt;=3,"Good",IF(I177&gt;=2,"Average","Poor")))</f>
        <v>Excellent</v>
      </c>
      <c r="O175" t="e">
        <f>VLOOKUP(D175, $T$18:$U$23, 2, FALSE)</f>
        <v>#N/A</v>
      </c>
      <c r="P175" t="str">
        <f t="shared" ref="P175" si="167">IF(H175 &gt; 0.5 * G175, "YES", "NO")</f>
        <v>NO</v>
      </c>
      <c r="Q175">
        <f t="shared" si="139"/>
        <v>714095</v>
      </c>
      <c r="R175" t="str">
        <f>IF(MONTH(E169)&gt;=6, YEAR(E169) &amp; "-" &amp; YEAR(E169)+1, YEAR(E169)-1 &amp; "-" &amp; YEAR(E169))</f>
        <v>2021-2022</v>
      </c>
    </row>
    <row r="176" spans="1:18" hidden="1" x14ac:dyDescent="0.25">
      <c r="A176" t="s">
        <v>455</v>
      </c>
      <c r="B176" t="s">
        <v>456</v>
      </c>
      <c r="C176" t="s">
        <v>17</v>
      </c>
      <c r="D176" t="s">
        <v>9</v>
      </c>
      <c r="E176" t="s">
        <v>457</v>
      </c>
      <c r="F176" t="s">
        <v>36</v>
      </c>
      <c r="G176">
        <v>6795</v>
      </c>
      <c r="H176">
        <v>8202</v>
      </c>
      <c r="I176">
        <v>2.66</v>
      </c>
      <c r="J176">
        <v>64</v>
      </c>
      <c r="Q176">
        <f t="shared" si="139"/>
        <v>714095</v>
      </c>
    </row>
    <row r="177" spans="1:18" hidden="1" x14ac:dyDescent="0.25">
      <c r="A177" t="s">
        <v>458</v>
      </c>
      <c r="B177" t="s">
        <v>459</v>
      </c>
      <c r="C177" t="s">
        <v>21</v>
      </c>
      <c r="D177" t="s">
        <v>65</v>
      </c>
      <c r="E177" t="s">
        <v>460</v>
      </c>
      <c r="F177" t="s">
        <v>11</v>
      </c>
      <c r="G177">
        <v>8638</v>
      </c>
      <c r="H177">
        <v>9153</v>
      </c>
      <c r="I177">
        <v>3.5</v>
      </c>
      <c r="J177">
        <v>113</v>
      </c>
      <c r="Q177">
        <f t="shared" si="139"/>
        <v>714095</v>
      </c>
    </row>
    <row r="178" spans="1:18" hidden="1" x14ac:dyDescent="0.25">
      <c r="A178" t="s">
        <v>461</v>
      </c>
      <c r="B178" t="s">
        <v>462</v>
      </c>
      <c r="C178" t="s">
        <v>8</v>
      </c>
      <c r="D178" t="s">
        <v>9</v>
      </c>
      <c r="E178" t="s">
        <v>463</v>
      </c>
      <c r="F178" t="s">
        <v>36</v>
      </c>
      <c r="G178">
        <v>7115</v>
      </c>
      <c r="H178">
        <v>4495</v>
      </c>
      <c r="I178">
        <v>2.46</v>
      </c>
      <c r="J178">
        <v>113</v>
      </c>
      <c r="Q178">
        <f t="shared" si="139"/>
        <v>714095</v>
      </c>
    </row>
    <row r="179" spans="1:18" hidden="1" x14ac:dyDescent="0.25">
      <c r="A179" t="s">
        <v>464</v>
      </c>
      <c r="B179" t="s">
        <v>465</v>
      </c>
      <c r="C179" t="s">
        <v>58</v>
      </c>
      <c r="D179" t="s">
        <v>65</v>
      </c>
      <c r="E179" s="1">
        <v>44627</v>
      </c>
      <c r="F179" t="s">
        <v>11</v>
      </c>
      <c r="G179">
        <v>9350</v>
      </c>
      <c r="H179">
        <v>9475</v>
      </c>
      <c r="I179">
        <v>2.27</v>
      </c>
      <c r="J179">
        <v>42</v>
      </c>
      <c r="Q179">
        <f t="shared" si="139"/>
        <v>714095</v>
      </c>
    </row>
    <row r="180" spans="1:18" x14ac:dyDescent="0.25">
      <c r="A180" t="s">
        <v>466</v>
      </c>
      <c r="B180" t="s">
        <v>467</v>
      </c>
      <c r="C180" t="s">
        <v>21</v>
      </c>
      <c r="D180" t="s">
        <v>65</v>
      </c>
      <c r="E180" s="1">
        <v>45241</v>
      </c>
      <c r="F180" t="s">
        <v>5</v>
      </c>
      <c r="G180">
        <v>9814</v>
      </c>
      <c r="H180">
        <v>5383</v>
      </c>
      <c r="I180">
        <v>3.3</v>
      </c>
      <c r="J180">
        <v>26</v>
      </c>
      <c r="K180">
        <f t="shared" ref="K180" ca="1" si="168">IF(F180="Enrolled", TODAY()-E180, "")</f>
        <v>726</v>
      </c>
      <c r="M180">
        <f ca="1">IF(F180="Enrolled",TODAY() - E180,"")</f>
        <v>726</v>
      </c>
      <c r="N180" t="str">
        <f>IF(I182&gt;=3.5,"Excellent",IF(I182&gt;=3,"Good",IF(I182&gt;=2,"Average","Poor")))</f>
        <v>Average</v>
      </c>
      <c r="O180" t="e">
        <f>VLOOKUP(D180, $T$18:$U$23, 2, FALSE)</f>
        <v>#N/A</v>
      </c>
      <c r="P180" t="str">
        <f t="shared" ref="P180" si="169">IF(H180 &gt; 0.5 * G180, "YES", "NO")</f>
        <v>YES</v>
      </c>
      <c r="Q180">
        <f t="shared" si="139"/>
        <v>714095</v>
      </c>
      <c r="R180" t="str">
        <f>IF(MONTH(E174)&gt;=6, YEAR(E174) &amp; "-" &amp; YEAR(E174)+1, YEAR(E174)-1 &amp; "-" &amp; YEAR(E174))</f>
        <v>2023-2024</v>
      </c>
    </row>
    <row r="181" spans="1:18" hidden="1" x14ac:dyDescent="0.25">
      <c r="A181" t="s">
        <v>468</v>
      </c>
      <c r="B181" t="s">
        <v>469</v>
      </c>
      <c r="C181" t="s">
        <v>32</v>
      </c>
      <c r="D181" t="s">
        <v>9</v>
      </c>
      <c r="E181" t="s">
        <v>470</v>
      </c>
      <c r="F181" t="s">
        <v>11</v>
      </c>
      <c r="G181">
        <v>3206</v>
      </c>
      <c r="H181">
        <v>3995</v>
      </c>
      <c r="I181">
        <v>2.2200000000000002</v>
      </c>
      <c r="J181">
        <v>76</v>
      </c>
      <c r="Q181">
        <f t="shared" si="139"/>
        <v>714095</v>
      </c>
    </row>
    <row r="182" spans="1:18" x14ac:dyDescent="0.25">
      <c r="A182" t="s">
        <v>471</v>
      </c>
      <c r="B182" t="s">
        <v>472</v>
      </c>
      <c r="C182" t="s">
        <v>17</v>
      </c>
      <c r="D182" t="s">
        <v>9</v>
      </c>
      <c r="E182" s="1">
        <v>45148</v>
      </c>
      <c r="F182" t="s">
        <v>5</v>
      </c>
      <c r="G182">
        <v>3198</v>
      </c>
      <c r="H182">
        <v>3690</v>
      </c>
      <c r="I182">
        <v>2.64</v>
      </c>
      <c r="J182">
        <v>69</v>
      </c>
      <c r="K182">
        <f t="shared" ref="K182:K185" ca="1" si="170">IF(F182="Enrolled", TODAY()-E182, "")</f>
        <v>819</v>
      </c>
      <c r="M182">
        <f t="shared" ref="M182:M185" ca="1" si="171">IF(F182="Enrolled",TODAY() - E182,"")</f>
        <v>819</v>
      </c>
      <c r="N182" t="str">
        <f t="shared" ref="N182:N185" si="172">IF(I184&gt;=3.5,"Excellent",IF(I184&gt;=3,"Good",IF(I184&gt;=2,"Average","Poor")))</f>
        <v>Average</v>
      </c>
      <c r="O182" t="e">
        <f t="shared" ref="O182:O185" si="173">VLOOKUP(D182, $T$18:$U$23, 2, FALSE)</f>
        <v>#N/A</v>
      </c>
      <c r="P182" t="str">
        <f t="shared" ref="P182:P185" si="174">IF(H182 &gt; 0.5 * G182, "YES", "NO")</f>
        <v>YES</v>
      </c>
      <c r="Q182">
        <f t="shared" si="139"/>
        <v>710889</v>
      </c>
      <c r="R182" t="str">
        <f t="shared" ref="R182:R185" si="175">IF(MONTH(E176)&gt;=6, YEAR(E176) &amp; "-" &amp; YEAR(E176)+1, YEAR(E176)-1 &amp; "-" &amp; YEAR(E176))</f>
        <v>2021-2022</v>
      </c>
    </row>
    <row r="183" spans="1:18" x14ac:dyDescent="0.25">
      <c r="A183" t="s">
        <v>473</v>
      </c>
      <c r="B183" t="s">
        <v>474</v>
      </c>
      <c r="C183" t="s">
        <v>32</v>
      </c>
      <c r="D183" t="s">
        <v>9</v>
      </c>
      <c r="E183" t="s">
        <v>475</v>
      </c>
      <c r="F183" t="s">
        <v>5</v>
      </c>
      <c r="G183">
        <v>2972</v>
      </c>
      <c r="H183">
        <v>2721</v>
      </c>
      <c r="I183">
        <v>3.6</v>
      </c>
      <c r="J183">
        <v>24</v>
      </c>
      <c r="K183">
        <f t="shared" ca="1" si="170"/>
        <v>1206</v>
      </c>
      <c r="M183">
        <f t="shared" ca="1" si="171"/>
        <v>1206</v>
      </c>
      <c r="N183" t="str">
        <f t="shared" si="172"/>
        <v>Excellent</v>
      </c>
      <c r="O183" t="e">
        <f t="shared" si="173"/>
        <v>#N/A</v>
      </c>
      <c r="P183" t="str">
        <f t="shared" si="174"/>
        <v>YES</v>
      </c>
      <c r="Q183">
        <f t="shared" ref="Q183:Q204" si="176">SUMIFS(G183:G1381, F183:F1381, "Completed", D183:D1381, "Science")</f>
        <v>710889</v>
      </c>
      <c r="R183" t="str">
        <f t="shared" si="175"/>
        <v>2021-2022</v>
      </c>
    </row>
    <row r="184" spans="1:18" x14ac:dyDescent="0.25">
      <c r="A184" t="s">
        <v>476</v>
      </c>
      <c r="B184" t="s">
        <v>477</v>
      </c>
      <c r="C184" t="s">
        <v>8</v>
      </c>
      <c r="D184" t="s">
        <v>3</v>
      </c>
      <c r="E184" s="1">
        <v>45414</v>
      </c>
      <c r="F184" t="s">
        <v>5</v>
      </c>
      <c r="G184">
        <v>8985</v>
      </c>
      <c r="H184">
        <v>1826</v>
      </c>
      <c r="I184">
        <v>2.1</v>
      </c>
      <c r="J184">
        <v>9</v>
      </c>
      <c r="K184">
        <f t="shared" ca="1" si="170"/>
        <v>553</v>
      </c>
      <c r="M184">
        <f t="shared" ca="1" si="171"/>
        <v>553</v>
      </c>
      <c r="N184" t="str">
        <f t="shared" si="172"/>
        <v>Average</v>
      </c>
      <c r="O184" t="e">
        <f t="shared" si="173"/>
        <v>#N/A</v>
      </c>
      <c r="P184" t="str">
        <f t="shared" si="174"/>
        <v>NO</v>
      </c>
      <c r="Q184">
        <f t="shared" si="176"/>
        <v>710889</v>
      </c>
      <c r="R184" t="str">
        <f t="shared" si="175"/>
        <v>2022-2023</v>
      </c>
    </row>
    <row r="185" spans="1:18" x14ac:dyDescent="0.25">
      <c r="A185" t="s">
        <v>478</v>
      </c>
      <c r="B185" t="s">
        <v>479</v>
      </c>
      <c r="C185" t="s">
        <v>21</v>
      </c>
      <c r="D185" t="s">
        <v>3</v>
      </c>
      <c r="E185" s="1">
        <v>45139</v>
      </c>
      <c r="F185" t="s">
        <v>5</v>
      </c>
      <c r="G185">
        <v>8434</v>
      </c>
      <c r="H185">
        <v>5655</v>
      </c>
      <c r="I185">
        <v>3.62</v>
      </c>
      <c r="J185">
        <v>50</v>
      </c>
      <c r="K185">
        <f t="shared" ca="1" si="170"/>
        <v>828</v>
      </c>
      <c r="M185">
        <f t="shared" ca="1" si="171"/>
        <v>828</v>
      </c>
      <c r="N185" t="str">
        <f t="shared" si="172"/>
        <v>Average</v>
      </c>
      <c r="O185" t="e">
        <f t="shared" si="173"/>
        <v>#N/A</v>
      </c>
      <c r="P185" t="str">
        <f t="shared" si="174"/>
        <v>YES</v>
      </c>
      <c r="Q185">
        <f t="shared" si="176"/>
        <v>710889</v>
      </c>
      <c r="R185" t="str">
        <f t="shared" si="175"/>
        <v>2021-2022</v>
      </c>
    </row>
    <row r="186" spans="1:18" hidden="1" x14ac:dyDescent="0.25">
      <c r="A186" t="s">
        <v>480</v>
      </c>
      <c r="B186" t="s">
        <v>481</v>
      </c>
      <c r="C186" t="s">
        <v>58</v>
      </c>
      <c r="D186" t="s">
        <v>3</v>
      </c>
      <c r="E186" s="1">
        <v>45477</v>
      </c>
      <c r="F186" t="s">
        <v>36</v>
      </c>
      <c r="G186">
        <v>8637</v>
      </c>
      <c r="H186">
        <v>6872</v>
      </c>
      <c r="I186">
        <v>2.02</v>
      </c>
      <c r="J186">
        <v>2</v>
      </c>
      <c r="Q186">
        <f t="shared" si="176"/>
        <v>710889</v>
      </c>
    </row>
    <row r="187" spans="1:18" x14ac:dyDescent="0.25">
      <c r="A187" t="s">
        <v>482</v>
      </c>
      <c r="B187" t="s">
        <v>483</v>
      </c>
      <c r="C187" t="s">
        <v>14</v>
      </c>
      <c r="D187" t="s">
        <v>3</v>
      </c>
      <c r="E187" t="s">
        <v>484</v>
      </c>
      <c r="F187" t="s">
        <v>5</v>
      </c>
      <c r="G187">
        <v>7498</v>
      </c>
      <c r="H187">
        <v>3801</v>
      </c>
      <c r="I187">
        <v>2.66</v>
      </c>
      <c r="J187">
        <v>61</v>
      </c>
      <c r="K187">
        <f t="shared" ref="K187:K195" ca="1" si="177">IF(F187="Enrolled", TODAY()-E187, "")</f>
        <v>1385</v>
      </c>
      <c r="M187">
        <f t="shared" ref="M187:M195" ca="1" si="178">IF(F187="Enrolled",TODAY() - E187,"")</f>
        <v>1385</v>
      </c>
      <c r="N187" t="str">
        <f t="shared" ref="N187:N195" si="179">IF(I189&gt;=3.5,"Excellent",IF(I189&gt;=3,"Good",IF(I189&gt;=2,"Average","Poor")))</f>
        <v>Good</v>
      </c>
      <c r="O187" t="e">
        <f t="shared" ref="O187:O195" si="180">VLOOKUP(D187, $T$18:$U$23, 2, FALSE)</f>
        <v>#N/A</v>
      </c>
      <c r="P187" t="str">
        <f t="shared" ref="P187:P195" si="181">IF(H187 &gt; 0.5 * G187, "YES", "NO")</f>
        <v>YES</v>
      </c>
      <c r="Q187">
        <f t="shared" si="176"/>
        <v>710889</v>
      </c>
      <c r="R187" t="str">
        <f t="shared" ref="R187:R195" si="182">IF(MONTH(E181)&gt;=6, YEAR(E181) &amp; "-" &amp; YEAR(E181)+1, YEAR(E181)-1 &amp; "-" &amp; YEAR(E181))</f>
        <v>2023-2024</v>
      </c>
    </row>
    <row r="188" spans="1:18" x14ac:dyDescent="0.25">
      <c r="A188" t="s">
        <v>485</v>
      </c>
      <c r="B188" t="s">
        <v>486</v>
      </c>
      <c r="C188" t="s">
        <v>55</v>
      </c>
      <c r="D188" t="s">
        <v>3</v>
      </c>
      <c r="E188" t="s">
        <v>487</v>
      </c>
      <c r="F188" t="s">
        <v>5</v>
      </c>
      <c r="G188">
        <v>8592</v>
      </c>
      <c r="H188">
        <v>2399</v>
      </c>
      <c r="I188">
        <v>2.95</v>
      </c>
      <c r="J188">
        <v>113</v>
      </c>
      <c r="K188">
        <f t="shared" ca="1" si="177"/>
        <v>1170</v>
      </c>
      <c r="M188">
        <f t="shared" ca="1" si="178"/>
        <v>1170</v>
      </c>
      <c r="N188" t="str">
        <f t="shared" si="179"/>
        <v>Average</v>
      </c>
      <c r="O188" t="e">
        <f t="shared" si="180"/>
        <v>#N/A</v>
      </c>
      <c r="P188" t="str">
        <f t="shared" si="181"/>
        <v>NO</v>
      </c>
      <c r="Q188">
        <f t="shared" si="176"/>
        <v>710889</v>
      </c>
      <c r="R188" t="str">
        <f t="shared" si="182"/>
        <v>2023-2024</v>
      </c>
    </row>
    <row r="189" spans="1:18" x14ac:dyDescent="0.25">
      <c r="A189" t="s">
        <v>488</v>
      </c>
      <c r="B189" t="s">
        <v>489</v>
      </c>
      <c r="C189" t="s">
        <v>2</v>
      </c>
      <c r="D189" t="s">
        <v>9</v>
      </c>
      <c r="E189" s="1">
        <v>45170</v>
      </c>
      <c r="F189" t="s">
        <v>5</v>
      </c>
      <c r="G189">
        <v>13019</v>
      </c>
      <c r="H189">
        <v>9320</v>
      </c>
      <c r="I189">
        <v>3.4</v>
      </c>
      <c r="J189">
        <v>5</v>
      </c>
      <c r="K189">
        <f t="shared" ca="1" si="177"/>
        <v>797</v>
      </c>
      <c r="M189">
        <f t="shared" ca="1" si="178"/>
        <v>797</v>
      </c>
      <c r="N189" t="str">
        <f t="shared" si="179"/>
        <v>Excellent</v>
      </c>
      <c r="O189" t="e">
        <f t="shared" si="180"/>
        <v>#N/A</v>
      </c>
      <c r="P189" t="str">
        <f t="shared" si="181"/>
        <v>YES</v>
      </c>
      <c r="Q189">
        <f t="shared" si="176"/>
        <v>710889</v>
      </c>
      <c r="R189" t="str">
        <f t="shared" si="182"/>
        <v>2022-2023</v>
      </c>
    </row>
    <row r="190" spans="1:18" x14ac:dyDescent="0.25">
      <c r="A190" t="s">
        <v>490</v>
      </c>
      <c r="B190" t="s">
        <v>491</v>
      </c>
      <c r="C190" t="s">
        <v>21</v>
      </c>
      <c r="D190" t="s">
        <v>65</v>
      </c>
      <c r="E190" s="1">
        <v>45598</v>
      </c>
      <c r="F190" t="s">
        <v>5</v>
      </c>
      <c r="G190">
        <v>4919</v>
      </c>
      <c r="H190">
        <v>1822</v>
      </c>
      <c r="I190">
        <v>2.46</v>
      </c>
      <c r="J190">
        <v>38</v>
      </c>
      <c r="K190">
        <f t="shared" ca="1" si="177"/>
        <v>369</v>
      </c>
      <c r="M190">
        <f t="shared" ca="1" si="178"/>
        <v>369</v>
      </c>
      <c r="N190" t="str">
        <f t="shared" si="179"/>
        <v>Good</v>
      </c>
      <c r="O190" t="e">
        <f t="shared" si="180"/>
        <v>#N/A</v>
      </c>
      <c r="P190" t="str">
        <f t="shared" si="181"/>
        <v>NO</v>
      </c>
      <c r="Q190">
        <f t="shared" si="176"/>
        <v>710889</v>
      </c>
      <c r="R190" t="str">
        <f t="shared" si="182"/>
        <v>2023-2024</v>
      </c>
    </row>
    <row r="191" spans="1:18" x14ac:dyDescent="0.25">
      <c r="A191" t="s">
        <v>492</v>
      </c>
      <c r="B191" t="s">
        <v>493</v>
      </c>
      <c r="C191" t="s">
        <v>8</v>
      </c>
      <c r="D191" t="s">
        <v>65</v>
      </c>
      <c r="E191" t="s">
        <v>494</v>
      </c>
      <c r="F191" t="s">
        <v>5</v>
      </c>
      <c r="G191">
        <v>2581</v>
      </c>
      <c r="H191">
        <v>8966</v>
      </c>
      <c r="I191">
        <v>3.75</v>
      </c>
      <c r="J191">
        <v>22</v>
      </c>
      <c r="K191">
        <f t="shared" ca="1" si="177"/>
        <v>929</v>
      </c>
      <c r="M191">
        <f t="shared" ca="1" si="178"/>
        <v>929</v>
      </c>
      <c r="N191" t="str">
        <f t="shared" si="179"/>
        <v>Average</v>
      </c>
      <c r="O191" t="e">
        <f t="shared" si="180"/>
        <v>#N/A</v>
      </c>
      <c r="P191" t="str">
        <f t="shared" si="181"/>
        <v>YES</v>
      </c>
      <c r="Q191">
        <f t="shared" si="176"/>
        <v>710889</v>
      </c>
      <c r="R191" t="str">
        <f t="shared" si="182"/>
        <v>2023-2024</v>
      </c>
    </row>
    <row r="192" spans="1:18" x14ac:dyDescent="0.25">
      <c r="A192" t="s">
        <v>495</v>
      </c>
      <c r="B192" t="s">
        <v>496</v>
      </c>
      <c r="C192" t="s">
        <v>55</v>
      </c>
      <c r="D192" t="s">
        <v>25</v>
      </c>
      <c r="E192" t="s">
        <v>372</v>
      </c>
      <c r="F192" t="s">
        <v>5</v>
      </c>
      <c r="G192">
        <v>7675</v>
      </c>
      <c r="H192">
        <v>2892</v>
      </c>
      <c r="I192">
        <v>3.24</v>
      </c>
      <c r="J192">
        <v>62</v>
      </c>
      <c r="K192">
        <f t="shared" ca="1" si="177"/>
        <v>967</v>
      </c>
      <c r="M192">
        <f t="shared" ca="1" si="178"/>
        <v>967</v>
      </c>
      <c r="N192" t="str">
        <f t="shared" si="179"/>
        <v>Average</v>
      </c>
      <c r="O192" t="e">
        <f t="shared" si="180"/>
        <v>#N/A</v>
      </c>
      <c r="P192" t="str">
        <f t="shared" si="181"/>
        <v>NO</v>
      </c>
      <c r="Q192">
        <f t="shared" si="176"/>
        <v>710889</v>
      </c>
      <c r="R192" t="str">
        <f t="shared" si="182"/>
        <v>2024-2025</v>
      </c>
    </row>
    <row r="193" spans="1:18" x14ac:dyDescent="0.25">
      <c r="A193" t="s">
        <v>497</v>
      </c>
      <c r="B193" t="s">
        <v>498</v>
      </c>
      <c r="C193" t="s">
        <v>21</v>
      </c>
      <c r="D193" t="s">
        <v>9</v>
      </c>
      <c r="E193" t="s">
        <v>295</v>
      </c>
      <c r="F193" t="s">
        <v>5</v>
      </c>
      <c r="G193">
        <v>3222</v>
      </c>
      <c r="H193">
        <v>2025</v>
      </c>
      <c r="I193">
        <v>2.38</v>
      </c>
      <c r="J193">
        <v>6</v>
      </c>
      <c r="K193">
        <f t="shared" ca="1" si="177"/>
        <v>931</v>
      </c>
      <c r="M193">
        <f t="shared" ca="1" si="178"/>
        <v>931</v>
      </c>
      <c r="N193" t="str">
        <f t="shared" si="179"/>
        <v>Good</v>
      </c>
      <c r="O193" t="e">
        <f t="shared" si="180"/>
        <v>#N/A</v>
      </c>
      <c r="P193" t="str">
        <f t="shared" si="181"/>
        <v>YES</v>
      </c>
      <c r="Q193">
        <f t="shared" si="176"/>
        <v>710889</v>
      </c>
      <c r="R193" t="str">
        <f t="shared" si="182"/>
        <v>2021-2022</v>
      </c>
    </row>
    <row r="194" spans="1:18" x14ac:dyDescent="0.25">
      <c r="A194" t="s">
        <v>499</v>
      </c>
      <c r="B194" t="s">
        <v>500</v>
      </c>
      <c r="C194" t="s">
        <v>8</v>
      </c>
      <c r="D194" t="s">
        <v>9</v>
      </c>
      <c r="E194" t="s">
        <v>501</v>
      </c>
      <c r="F194" t="s">
        <v>5</v>
      </c>
      <c r="G194">
        <v>14952</v>
      </c>
      <c r="H194">
        <v>2236</v>
      </c>
      <c r="I194">
        <v>2.34</v>
      </c>
      <c r="J194">
        <v>77</v>
      </c>
      <c r="K194">
        <f t="shared" ca="1" si="177"/>
        <v>1361</v>
      </c>
      <c r="M194">
        <f t="shared" ca="1" si="178"/>
        <v>1361</v>
      </c>
      <c r="N194" t="str">
        <f t="shared" si="179"/>
        <v>Good</v>
      </c>
      <c r="O194" t="e">
        <f t="shared" si="180"/>
        <v>#N/A</v>
      </c>
      <c r="P194" t="str">
        <f t="shared" si="181"/>
        <v>NO</v>
      </c>
      <c r="Q194">
        <f t="shared" si="176"/>
        <v>710889</v>
      </c>
      <c r="R194" t="str">
        <f t="shared" si="182"/>
        <v>2022-2023</v>
      </c>
    </row>
    <row r="195" spans="1:18" x14ac:dyDescent="0.25">
      <c r="A195" t="s">
        <v>502</v>
      </c>
      <c r="B195" t="s">
        <v>503</v>
      </c>
      <c r="C195" t="s">
        <v>8</v>
      </c>
      <c r="D195" t="s">
        <v>3</v>
      </c>
      <c r="E195" t="s">
        <v>504</v>
      </c>
      <c r="F195" t="s">
        <v>5</v>
      </c>
      <c r="G195">
        <v>2577</v>
      </c>
      <c r="H195">
        <v>8811</v>
      </c>
      <c r="I195">
        <v>3.43</v>
      </c>
      <c r="J195">
        <v>99</v>
      </c>
      <c r="K195">
        <f t="shared" ca="1" si="177"/>
        <v>1289</v>
      </c>
      <c r="M195">
        <f t="shared" ca="1" si="178"/>
        <v>1289</v>
      </c>
      <c r="N195" t="str">
        <f t="shared" si="179"/>
        <v>Average</v>
      </c>
      <c r="O195" t="e">
        <f t="shared" si="180"/>
        <v>#N/A</v>
      </c>
      <c r="P195" t="str">
        <f t="shared" si="181"/>
        <v>YES</v>
      </c>
      <c r="Q195">
        <f t="shared" si="176"/>
        <v>710889</v>
      </c>
      <c r="R195" t="str">
        <f t="shared" si="182"/>
        <v>2023-2024</v>
      </c>
    </row>
    <row r="196" spans="1:18" hidden="1" x14ac:dyDescent="0.25">
      <c r="A196" t="s">
        <v>505</v>
      </c>
      <c r="B196" t="s">
        <v>506</v>
      </c>
      <c r="C196" t="s">
        <v>58</v>
      </c>
      <c r="D196" t="s">
        <v>25</v>
      </c>
      <c r="E196" t="s">
        <v>507</v>
      </c>
      <c r="F196" t="s">
        <v>36</v>
      </c>
      <c r="G196">
        <v>8254</v>
      </c>
      <c r="H196">
        <v>1754</v>
      </c>
      <c r="I196">
        <v>3.3</v>
      </c>
      <c r="J196">
        <v>97</v>
      </c>
      <c r="Q196">
        <f t="shared" si="176"/>
        <v>710889</v>
      </c>
    </row>
    <row r="197" spans="1:18" hidden="1" x14ac:dyDescent="0.25">
      <c r="A197" t="s">
        <v>508</v>
      </c>
      <c r="B197" t="s">
        <v>509</v>
      </c>
      <c r="C197" t="s">
        <v>32</v>
      </c>
      <c r="D197" t="s">
        <v>25</v>
      </c>
      <c r="E197" t="s">
        <v>378</v>
      </c>
      <c r="F197" t="s">
        <v>36</v>
      </c>
      <c r="G197">
        <v>3770</v>
      </c>
      <c r="H197">
        <v>4072</v>
      </c>
      <c r="I197">
        <v>2.73</v>
      </c>
      <c r="J197">
        <v>23</v>
      </c>
      <c r="Q197">
        <f t="shared" si="176"/>
        <v>710889</v>
      </c>
    </row>
    <row r="198" spans="1:18" x14ac:dyDescent="0.25">
      <c r="A198" t="s">
        <v>510</v>
      </c>
      <c r="B198" t="s">
        <v>511</v>
      </c>
      <c r="C198" t="s">
        <v>14</v>
      </c>
      <c r="D198" t="s">
        <v>9</v>
      </c>
      <c r="E198" t="s">
        <v>512</v>
      </c>
      <c r="F198" t="s">
        <v>5</v>
      </c>
      <c r="G198">
        <v>8294</v>
      </c>
      <c r="H198">
        <v>3336</v>
      </c>
      <c r="I198">
        <v>2.5099999999999998</v>
      </c>
      <c r="J198">
        <v>80</v>
      </c>
      <c r="K198">
        <f t="shared" ref="K198:K201" ca="1" si="183">IF(F198="Enrolled", TODAY()-E198, "")</f>
        <v>1354</v>
      </c>
      <c r="M198">
        <f t="shared" ref="M198:M201" ca="1" si="184">IF(F198="Enrolled",TODAY() - E198,"")</f>
        <v>1354</v>
      </c>
      <c r="N198" t="str">
        <f t="shared" ref="N198:N201" si="185">IF(I200&gt;=3.5,"Excellent",IF(I200&gt;=3,"Good",IF(I200&gt;=2,"Average","Poor")))</f>
        <v>Good</v>
      </c>
      <c r="O198" t="e">
        <f t="shared" ref="O198:O201" si="186">VLOOKUP(D198, $T$18:$U$23, 2, FALSE)</f>
        <v>#N/A</v>
      </c>
      <c r="P198" t="str">
        <f t="shared" ref="P198:P201" si="187">IF(H198 &gt; 0.5 * G198, "YES", "NO")</f>
        <v>NO</v>
      </c>
      <c r="Q198">
        <f t="shared" si="176"/>
        <v>710889</v>
      </c>
      <c r="R198" t="str">
        <f t="shared" ref="R198:R201" si="188">IF(MONTH(E192)&gt;=6, YEAR(E192) &amp; "-" &amp; YEAR(E192)+1, YEAR(E192)-1 &amp; "-" &amp; YEAR(E192))</f>
        <v>2022-2023</v>
      </c>
    </row>
    <row r="199" spans="1:18" x14ac:dyDescent="0.25">
      <c r="A199" t="s">
        <v>513</v>
      </c>
      <c r="B199" t="s">
        <v>514</v>
      </c>
      <c r="C199" t="s">
        <v>21</v>
      </c>
      <c r="D199" t="s">
        <v>25</v>
      </c>
      <c r="E199" t="s">
        <v>515</v>
      </c>
      <c r="F199" t="s">
        <v>5</v>
      </c>
      <c r="G199">
        <v>11110</v>
      </c>
      <c r="H199">
        <v>5912</v>
      </c>
      <c r="I199">
        <v>2.83</v>
      </c>
      <c r="J199">
        <v>93</v>
      </c>
      <c r="K199">
        <f t="shared" ca="1" si="183"/>
        <v>1287</v>
      </c>
      <c r="M199">
        <f t="shared" ca="1" si="184"/>
        <v>1287</v>
      </c>
      <c r="N199" t="str">
        <f t="shared" si="185"/>
        <v>Average</v>
      </c>
      <c r="O199" t="e">
        <f t="shared" si="186"/>
        <v>#N/A</v>
      </c>
      <c r="P199" t="str">
        <f t="shared" si="187"/>
        <v>YES</v>
      </c>
      <c r="Q199">
        <f t="shared" si="176"/>
        <v>710889</v>
      </c>
      <c r="R199" t="str">
        <f t="shared" si="188"/>
        <v>2022-2023</v>
      </c>
    </row>
    <row r="200" spans="1:18" x14ac:dyDescent="0.25">
      <c r="A200" t="s">
        <v>516</v>
      </c>
      <c r="B200" t="s">
        <v>517</v>
      </c>
      <c r="C200" t="s">
        <v>21</v>
      </c>
      <c r="D200" t="s">
        <v>65</v>
      </c>
      <c r="E200" t="s">
        <v>518</v>
      </c>
      <c r="F200" t="s">
        <v>5</v>
      </c>
      <c r="G200">
        <v>4826</v>
      </c>
      <c r="H200">
        <v>9578</v>
      </c>
      <c r="I200">
        <v>3.3</v>
      </c>
      <c r="J200">
        <v>48</v>
      </c>
      <c r="K200">
        <f t="shared" ca="1" si="183"/>
        <v>936</v>
      </c>
      <c r="M200">
        <f t="shared" ca="1" si="184"/>
        <v>936</v>
      </c>
      <c r="N200" t="str">
        <f t="shared" si="185"/>
        <v>Average</v>
      </c>
      <c r="O200" t="e">
        <f t="shared" si="186"/>
        <v>#N/A</v>
      </c>
      <c r="P200" t="str">
        <f t="shared" si="187"/>
        <v>YES</v>
      </c>
      <c r="Q200">
        <f t="shared" si="176"/>
        <v>710889</v>
      </c>
      <c r="R200" t="str">
        <f t="shared" si="188"/>
        <v>2021-2022</v>
      </c>
    </row>
    <row r="201" spans="1:18" x14ac:dyDescent="0.25">
      <c r="A201" t="s">
        <v>519</v>
      </c>
      <c r="B201" t="s">
        <v>520</v>
      </c>
      <c r="C201" t="s">
        <v>17</v>
      </c>
      <c r="D201" t="s">
        <v>65</v>
      </c>
      <c r="E201" s="1">
        <v>44774</v>
      </c>
      <c r="F201" t="s">
        <v>5</v>
      </c>
      <c r="G201">
        <v>9328</v>
      </c>
      <c r="H201">
        <v>5482</v>
      </c>
      <c r="I201">
        <v>2.5099999999999998</v>
      </c>
      <c r="J201">
        <v>78</v>
      </c>
      <c r="K201">
        <f t="shared" ca="1" si="183"/>
        <v>1193</v>
      </c>
      <c r="M201">
        <f t="shared" ca="1" si="184"/>
        <v>1193</v>
      </c>
      <c r="N201" t="str">
        <f t="shared" si="185"/>
        <v>Good</v>
      </c>
      <c r="O201" t="e">
        <f t="shared" si="186"/>
        <v>#N/A</v>
      </c>
      <c r="P201" t="str">
        <f t="shared" si="187"/>
        <v>YES</v>
      </c>
      <c r="Q201">
        <f t="shared" si="176"/>
        <v>710889</v>
      </c>
      <c r="R201" t="str">
        <f t="shared" si="188"/>
        <v>2021-2022</v>
      </c>
    </row>
    <row r="202" spans="1:18" hidden="1" x14ac:dyDescent="0.25">
      <c r="A202" t="s">
        <v>521</v>
      </c>
      <c r="B202" t="s">
        <v>522</v>
      </c>
      <c r="C202" t="s">
        <v>14</v>
      </c>
      <c r="D202" t="s">
        <v>65</v>
      </c>
      <c r="E202" s="1">
        <v>44996</v>
      </c>
      <c r="F202" t="s">
        <v>11</v>
      </c>
      <c r="G202">
        <v>10414</v>
      </c>
      <c r="H202">
        <v>3254</v>
      </c>
      <c r="I202">
        <v>2.36</v>
      </c>
      <c r="J202">
        <v>48</v>
      </c>
      <c r="Q202">
        <f t="shared" si="176"/>
        <v>710889</v>
      </c>
    </row>
    <row r="203" spans="1:18" x14ac:dyDescent="0.25">
      <c r="A203" t="s">
        <v>523</v>
      </c>
      <c r="B203" t="s">
        <v>524</v>
      </c>
      <c r="C203" t="s">
        <v>55</v>
      </c>
      <c r="D203" t="s">
        <v>65</v>
      </c>
      <c r="E203" s="1">
        <v>44813</v>
      </c>
      <c r="F203" t="s">
        <v>5</v>
      </c>
      <c r="G203">
        <v>5868</v>
      </c>
      <c r="H203">
        <v>3160</v>
      </c>
      <c r="I203">
        <v>3.33</v>
      </c>
      <c r="J203">
        <v>47</v>
      </c>
      <c r="K203">
        <f t="shared" ref="K203:K205" ca="1" si="189">IF(F203="Enrolled", TODAY()-E203, "")</f>
        <v>1154</v>
      </c>
      <c r="M203">
        <f t="shared" ref="M203:M205" ca="1" si="190">IF(F203="Enrolled",TODAY() - E203,"")</f>
        <v>1154</v>
      </c>
      <c r="N203" t="str">
        <f t="shared" ref="N203:N205" si="191">IF(I205&gt;=3.5,"Excellent",IF(I205&gt;=3,"Good",IF(I205&gt;=2,"Average","Poor")))</f>
        <v>Excellent</v>
      </c>
      <c r="O203" t="e">
        <f t="shared" ref="O203:O205" si="192">VLOOKUP(D203, $T$18:$U$23, 2, FALSE)</f>
        <v>#N/A</v>
      </c>
      <c r="P203" t="str">
        <f t="shared" ref="P203:P205" si="193">IF(H203 &gt; 0.5 * G203, "YES", "NO")</f>
        <v>YES</v>
      </c>
      <c r="Q203">
        <f t="shared" si="176"/>
        <v>710889</v>
      </c>
      <c r="R203" t="str">
        <f t="shared" ref="R203:R205" si="194">IF(MONTH(E197)&gt;=6, YEAR(E197) &amp; "-" &amp; YEAR(E197)+1, YEAR(E197)-1 &amp; "-" &amp; YEAR(E197))</f>
        <v>2023-2024</v>
      </c>
    </row>
    <row r="204" spans="1:18" x14ac:dyDescent="0.25">
      <c r="A204" t="s">
        <v>525</v>
      </c>
      <c r="B204" t="s">
        <v>526</v>
      </c>
      <c r="C204" t="s">
        <v>17</v>
      </c>
      <c r="D204" t="s">
        <v>3</v>
      </c>
      <c r="E204" s="1">
        <v>45204</v>
      </c>
      <c r="F204" t="s">
        <v>5</v>
      </c>
      <c r="G204">
        <v>13500</v>
      </c>
      <c r="H204">
        <v>3151</v>
      </c>
      <c r="I204">
        <v>2.34</v>
      </c>
      <c r="J204">
        <v>114</v>
      </c>
      <c r="K204">
        <f t="shared" ca="1" si="189"/>
        <v>763</v>
      </c>
      <c r="M204">
        <f t="shared" ca="1" si="190"/>
        <v>763</v>
      </c>
      <c r="N204" t="str">
        <f t="shared" si="191"/>
        <v>Average</v>
      </c>
      <c r="O204" t="e">
        <f t="shared" si="192"/>
        <v>#N/A</v>
      </c>
      <c r="P204" t="str">
        <f t="shared" si="193"/>
        <v>NO</v>
      </c>
      <c r="Q204">
        <f t="shared" si="176"/>
        <v>710889</v>
      </c>
      <c r="R204" t="str">
        <f t="shared" si="194"/>
        <v>2021-2022</v>
      </c>
    </row>
    <row r="205" spans="1:18" x14ac:dyDescent="0.25">
      <c r="A205" t="s">
        <v>527</v>
      </c>
      <c r="B205" t="s">
        <v>528</v>
      </c>
      <c r="C205" t="s">
        <v>14</v>
      </c>
      <c r="D205" t="s">
        <v>25</v>
      </c>
      <c r="E205" t="s">
        <v>529</v>
      </c>
      <c r="F205" t="s">
        <v>5</v>
      </c>
      <c r="G205">
        <v>5931</v>
      </c>
      <c r="H205">
        <v>8777</v>
      </c>
      <c r="I205">
        <v>3.86</v>
      </c>
      <c r="J205">
        <v>31</v>
      </c>
      <c r="K205">
        <f t="shared" ca="1" si="189"/>
        <v>1072</v>
      </c>
      <c r="M205">
        <f t="shared" ca="1" si="190"/>
        <v>1072</v>
      </c>
      <c r="N205" t="str">
        <f t="shared" si="191"/>
        <v>Good</v>
      </c>
      <c r="O205" t="e">
        <f t="shared" si="192"/>
        <v>#N/A</v>
      </c>
      <c r="P205" t="str">
        <f t="shared" si="193"/>
        <v>YES</v>
      </c>
      <c r="Q205">
        <f t="shared" ref="Q205:Q268" si="195">SUMIFS(G205:G1403, F205:F1403, "Completed", D205:D1403, "Science")</f>
        <v>710889</v>
      </c>
      <c r="R205" t="str">
        <f t="shared" si="194"/>
        <v>2021-2022</v>
      </c>
    </row>
    <row r="206" spans="1:18" hidden="1" x14ac:dyDescent="0.25">
      <c r="A206" t="s">
        <v>530</v>
      </c>
      <c r="B206" t="s">
        <v>531</v>
      </c>
      <c r="C206" t="s">
        <v>2</v>
      </c>
      <c r="D206" t="s">
        <v>9</v>
      </c>
      <c r="E206" s="1">
        <v>45602</v>
      </c>
      <c r="F206" t="s">
        <v>11</v>
      </c>
      <c r="G206">
        <v>9066</v>
      </c>
      <c r="H206">
        <v>7848</v>
      </c>
      <c r="I206">
        <v>2.21</v>
      </c>
      <c r="J206">
        <v>26</v>
      </c>
      <c r="Q206">
        <f t="shared" si="195"/>
        <v>710889</v>
      </c>
    </row>
    <row r="207" spans="1:18" x14ac:dyDescent="0.25">
      <c r="A207" t="s">
        <v>532</v>
      </c>
      <c r="B207" t="s">
        <v>533</v>
      </c>
      <c r="C207" t="s">
        <v>8</v>
      </c>
      <c r="D207" t="s">
        <v>3</v>
      </c>
      <c r="E207" t="s">
        <v>534</v>
      </c>
      <c r="F207" t="s">
        <v>5</v>
      </c>
      <c r="G207">
        <v>7462</v>
      </c>
      <c r="H207">
        <v>1641</v>
      </c>
      <c r="I207">
        <v>3.01</v>
      </c>
      <c r="J207">
        <v>72</v>
      </c>
      <c r="K207">
        <f t="shared" ref="K207:K208" ca="1" si="196">IF(F207="Enrolled", TODAY()-E207, "")</f>
        <v>1237</v>
      </c>
      <c r="M207">
        <f t="shared" ref="M207:M208" ca="1" si="197">IF(F207="Enrolled",TODAY() - E207,"")</f>
        <v>1237</v>
      </c>
      <c r="N207" t="str">
        <f t="shared" ref="N207:N208" si="198">IF(I209&gt;=3.5,"Excellent",IF(I209&gt;=3,"Good",IF(I209&gt;=2,"Average","Poor")))</f>
        <v>Average</v>
      </c>
      <c r="O207" t="e">
        <f t="shared" ref="O207:O208" si="199">VLOOKUP(D207, $T$18:$U$23, 2, FALSE)</f>
        <v>#N/A</v>
      </c>
      <c r="P207" t="str">
        <f t="shared" ref="P207:P208" si="200">IF(H207 &gt; 0.5 * G207, "YES", "NO")</f>
        <v>NO</v>
      </c>
      <c r="Q207">
        <f t="shared" si="195"/>
        <v>701823</v>
      </c>
      <c r="R207" t="str">
        <f t="shared" ref="R207:R208" si="201">IF(MONTH(E201)&gt;=6, YEAR(E201) &amp; "-" &amp; YEAR(E201)+1, YEAR(E201)-1 &amp; "-" &amp; YEAR(E201))</f>
        <v>2022-2023</v>
      </c>
    </row>
    <row r="208" spans="1:18" x14ac:dyDescent="0.25">
      <c r="A208" t="s">
        <v>535</v>
      </c>
      <c r="B208" t="s">
        <v>536</v>
      </c>
      <c r="C208" t="s">
        <v>21</v>
      </c>
      <c r="D208" t="s">
        <v>65</v>
      </c>
      <c r="E208" t="s">
        <v>537</v>
      </c>
      <c r="F208" t="s">
        <v>5</v>
      </c>
      <c r="G208">
        <v>13915</v>
      </c>
      <c r="H208">
        <v>3698</v>
      </c>
      <c r="I208">
        <v>3</v>
      </c>
      <c r="J208">
        <v>79</v>
      </c>
      <c r="K208">
        <f t="shared" ca="1" si="196"/>
        <v>804</v>
      </c>
      <c r="M208">
        <f t="shared" ca="1" si="197"/>
        <v>804</v>
      </c>
      <c r="N208" t="str">
        <f t="shared" si="198"/>
        <v>Excellent</v>
      </c>
      <c r="O208" t="e">
        <f t="shared" si="199"/>
        <v>#N/A</v>
      </c>
      <c r="P208" t="str">
        <f t="shared" si="200"/>
        <v>NO</v>
      </c>
      <c r="Q208">
        <f t="shared" si="195"/>
        <v>701823</v>
      </c>
      <c r="R208" t="str">
        <f t="shared" si="201"/>
        <v>2022-2023</v>
      </c>
    </row>
    <row r="209" spans="1:18" hidden="1" x14ac:dyDescent="0.25">
      <c r="A209" t="s">
        <v>538</v>
      </c>
      <c r="B209" t="s">
        <v>539</v>
      </c>
      <c r="C209" t="s">
        <v>14</v>
      </c>
      <c r="D209" t="s">
        <v>65</v>
      </c>
      <c r="E209" s="1">
        <v>44597</v>
      </c>
      <c r="F209" t="s">
        <v>11</v>
      </c>
      <c r="G209">
        <v>10682</v>
      </c>
      <c r="H209">
        <v>3998</v>
      </c>
      <c r="I209">
        <v>2.58</v>
      </c>
      <c r="J209">
        <v>34</v>
      </c>
      <c r="Q209">
        <f t="shared" si="195"/>
        <v>701823</v>
      </c>
    </row>
    <row r="210" spans="1:18" x14ac:dyDescent="0.25">
      <c r="A210" t="s">
        <v>540</v>
      </c>
      <c r="B210" t="s">
        <v>541</v>
      </c>
      <c r="C210" t="s">
        <v>14</v>
      </c>
      <c r="D210" t="s">
        <v>3</v>
      </c>
      <c r="E210" s="1">
        <v>44652</v>
      </c>
      <c r="F210" t="s">
        <v>5</v>
      </c>
      <c r="G210">
        <v>7804</v>
      </c>
      <c r="H210">
        <v>1458</v>
      </c>
      <c r="I210">
        <v>3.63</v>
      </c>
      <c r="J210">
        <v>68</v>
      </c>
      <c r="K210">
        <f t="shared" ref="K210" ca="1" si="202">IF(F210="Enrolled", TODAY()-E210, "")</f>
        <v>1315</v>
      </c>
      <c r="M210">
        <f ca="1">IF(F210="Enrolled",TODAY() - E210,"")</f>
        <v>1315</v>
      </c>
      <c r="N210" t="str">
        <f>IF(I212&gt;=3.5,"Excellent",IF(I212&gt;=3,"Good",IF(I212&gt;=2,"Average","Poor")))</f>
        <v>Average</v>
      </c>
      <c r="O210" t="e">
        <f>VLOOKUP(D210, $T$18:$U$23, 2, FALSE)</f>
        <v>#N/A</v>
      </c>
      <c r="P210" t="str">
        <f t="shared" ref="P210" si="203">IF(H210 &gt; 0.5 * G210, "YES", "NO")</f>
        <v>NO</v>
      </c>
      <c r="Q210">
        <f t="shared" si="195"/>
        <v>701823</v>
      </c>
      <c r="R210" t="str">
        <f>IF(MONTH(E204)&gt;=6, YEAR(E204) &amp; "-" &amp; YEAR(E204)+1, YEAR(E204)-1 &amp; "-" &amp; YEAR(E204))</f>
        <v>2023-2024</v>
      </c>
    </row>
    <row r="211" spans="1:18" hidden="1" x14ac:dyDescent="0.25">
      <c r="A211" t="s">
        <v>542</v>
      </c>
      <c r="B211" t="s">
        <v>543</v>
      </c>
      <c r="C211" t="s">
        <v>32</v>
      </c>
      <c r="D211" t="s">
        <v>3</v>
      </c>
      <c r="E211" t="s">
        <v>544</v>
      </c>
      <c r="F211" t="s">
        <v>11</v>
      </c>
      <c r="G211">
        <v>14208</v>
      </c>
      <c r="H211">
        <v>1610</v>
      </c>
      <c r="I211">
        <v>2.4</v>
      </c>
      <c r="J211">
        <v>64</v>
      </c>
      <c r="Q211">
        <f t="shared" si="195"/>
        <v>701823</v>
      </c>
    </row>
    <row r="212" spans="1:18" hidden="1" x14ac:dyDescent="0.25">
      <c r="A212" t="s">
        <v>545</v>
      </c>
      <c r="B212" t="s">
        <v>546</v>
      </c>
      <c r="C212" t="s">
        <v>14</v>
      </c>
      <c r="D212" t="s">
        <v>9</v>
      </c>
      <c r="E212" t="s">
        <v>22</v>
      </c>
      <c r="F212" t="s">
        <v>36</v>
      </c>
      <c r="G212">
        <v>10912</v>
      </c>
      <c r="H212">
        <v>7036</v>
      </c>
      <c r="I212">
        <v>2.34</v>
      </c>
      <c r="J212">
        <v>43</v>
      </c>
      <c r="Q212">
        <f t="shared" si="195"/>
        <v>701823</v>
      </c>
    </row>
    <row r="213" spans="1:18" x14ac:dyDescent="0.25">
      <c r="A213" t="s">
        <v>547</v>
      </c>
      <c r="B213" t="s">
        <v>548</v>
      </c>
      <c r="C213" t="s">
        <v>8</v>
      </c>
      <c r="D213" t="s">
        <v>3</v>
      </c>
      <c r="E213" s="1">
        <v>44937</v>
      </c>
      <c r="F213" t="s">
        <v>5</v>
      </c>
      <c r="G213">
        <v>4292</v>
      </c>
      <c r="H213">
        <v>5770</v>
      </c>
      <c r="I213">
        <v>3.5</v>
      </c>
      <c r="J213">
        <v>96</v>
      </c>
      <c r="K213">
        <f t="shared" ref="K213" ca="1" si="204">IF(F213="Enrolled", TODAY()-E213, "")</f>
        <v>1030</v>
      </c>
      <c r="M213">
        <f ca="1">IF(F213="Enrolled",TODAY() - E213,"")</f>
        <v>1030</v>
      </c>
      <c r="N213" t="str">
        <f>IF(I215&gt;=3.5,"Excellent",IF(I215&gt;=3,"Good",IF(I215&gt;=2,"Average","Poor")))</f>
        <v>Good</v>
      </c>
      <c r="O213" t="e">
        <f>VLOOKUP(D213, $T$18:$U$23, 2, FALSE)</f>
        <v>#N/A</v>
      </c>
      <c r="P213" t="str">
        <f t="shared" ref="P213" si="205">IF(H213 &gt; 0.5 * G213, "YES", "NO")</f>
        <v>YES</v>
      </c>
      <c r="Q213">
        <f t="shared" si="195"/>
        <v>701823</v>
      </c>
      <c r="R213" t="str">
        <f>IF(MONTH(E207)&gt;=6, YEAR(E207) &amp; "-" &amp; YEAR(E207)+1, YEAR(E207)-1 &amp; "-" &amp; YEAR(E207))</f>
        <v>2022-2023</v>
      </c>
    </row>
    <row r="214" spans="1:18" hidden="1" x14ac:dyDescent="0.25">
      <c r="A214" t="s">
        <v>549</v>
      </c>
      <c r="B214" t="s">
        <v>550</v>
      </c>
      <c r="C214" t="s">
        <v>21</v>
      </c>
      <c r="D214" t="s">
        <v>25</v>
      </c>
      <c r="E214" t="s">
        <v>551</v>
      </c>
      <c r="F214" t="s">
        <v>11</v>
      </c>
      <c r="G214">
        <v>13557</v>
      </c>
      <c r="H214">
        <v>7162</v>
      </c>
      <c r="I214">
        <v>2.0299999999999998</v>
      </c>
      <c r="J214">
        <v>111</v>
      </c>
      <c r="Q214">
        <f t="shared" si="195"/>
        <v>701823</v>
      </c>
    </row>
    <row r="215" spans="1:18" hidden="1" x14ac:dyDescent="0.25">
      <c r="A215" t="s">
        <v>552</v>
      </c>
      <c r="B215" t="s">
        <v>553</v>
      </c>
      <c r="C215" t="s">
        <v>8</v>
      </c>
      <c r="D215" t="s">
        <v>65</v>
      </c>
      <c r="E215" s="1">
        <v>45086</v>
      </c>
      <c r="F215" t="s">
        <v>11</v>
      </c>
      <c r="G215">
        <v>9626</v>
      </c>
      <c r="H215">
        <v>5195</v>
      </c>
      <c r="I215">
        <v>3.38</v>
      </c>
      <c r="J215">
        <v>17</v>
      </c>
      <c r="Q215">
        <f t="shared" si="195"/>
        <v>701823</v>
      </c>
    </row>
    <row r="216" spans="1:18" x14ac:dyDescent="0.25">
      <c r="A216" t="s">
        <v>554</v>
      </c>
      <c r="B216" t="s">
        <v>555</v>
      </c>
      <c r="C216" t="s">
        <v>2</v>
      </c>
      <c r="D216" t="s">
        <v>3</v>
      </c>
      <c r="E216" t="s">
        <v>556</v>
      </c>
      <c r="F216" t="s">
        <v>5</v>
      </c>
      <c r="G216">
        <v>13924</v>
      </c>
      <c r="H216">
        <v>919</v>
      </c>
      <c r="I216">
        <v>2.89</v>
      </c>
      <c r="J216">
        <v>108</v>
      </c>
      <c r="K216">
        <f t="shared" ref="K216:K218" ca="1" si="206">IF(F216="Enrolled", TODAY()-E216, "")</f>
        <v>810</v>
      </c>
      <c r="M216">
        <f t="shared" ref="M216:M218" ca="1" si="207">IF(F216="Enrolled",TODAY() - E216,"")</f>
        <v>810</v>
      </c>
      <c r="N216" t="str">
        <f t="shared" ref="N216:N218" si="208">IF(I218&gt;=3.5,"Excellent",IF(I218&gt;=3,"Good",IF(I218&gt;=2,"Average","Poor")))</f>
        <v>Good</v>
      </c>
      <c r="O216" t="e">
        <f t="shared" ref="O216:O218" si="209">VLOOKUP(D216, $T$18:$U$23, 2, FALSE)</f>
        <v>#N/A</v>
      </c>
      <c r="P216" t="str">
        <f t="shared" ref="P216:P218" si="210">IF(H216 &gt; 0.5 * G216, "YES", "NO")</f>
        <v>NO</v>
      </c>
      <c r="Q216">
        <f t="shared" si="195"/>
        <v>701823</v>
      </c>
      <c r="R216" t="str">
        <f t="shared" ref="R216:R218" si="211">IF(MONTH(E210)&gt;=6, YEAR(E210) &amp; "-" &amp; YEAR(E210)+1, YEAR(E210)-1 &amp; "-" &amp; YEAR(E210))</f>
        <v>2021-2022</v>
      </c>
    </row>
    <row r="217" spans="1:18" x14ac:dyDescent="0.25">
      <c r="A217" t="s">
        <v>557</v>
      </c>
      <c r="B217" t="s">
        <v>558</v>
      </c>
      <c r="C217" t="s">
        <v>8</v>
      </c>
      <c r="D217" t="s">
        <v>65</v>
      </c>
      <c r="E217" t="s">
        <v>559</v>
      </c>
      <c r="F217" t="s">
        <v>5</v>
      </c>
      <c r="G217">
        <v>11491</v>
      </c>
      <c r="H217">
        <v>8965</v>
      </c>
      <c r="I217">
        <v>2.95</v>
      </c>
      <c r="J217">
        <v>5</v>
      </c>
      <c r="K217">
        <f t="shared" ca="1" si="206"/>
        <v>1165</v>
      </c>
      <c r="M217">
        <f t="shared" ca="1" si="207"/>
        <v>1165</v>
      </c>
      <c r="N217" t="str">
        <f t="shared" si="208"/>
        <v>Average</v>
      </c>
      <c r="O217" t="e">
        <f t="shared" si="209"/>
        <v>#N/A</v>
      </c>
      <c r="P217" t="str">
        <f t="shared" si="210"/>
        <v>YES</v>
      </c>
      <c r="Q217">
        <f t="shared" si="195"/>
        <v>701823</v>
      </c>
      <c r="R217" t="str">
        <f t="shared" si="211"/>
        <v>2023-2024</v>
      </c>
    </row>
    <row r="218" spans="1:18" x14ac:dyDescent="0.25">
      <c r="A218" t="s">
        <v>560</v>
      </c>
      <c r="B218" t="s">
        <v>561</v>
      </c>
      <c r="C218" t="s">
        <v>58</v>
      </c>
      <c r="D218" t="s">
        <v>9</v>
      </c>
      <c r="E218" s="1">
        <v>45447</v>
      </c>
      <c r="F218" t="s">
        <v>5</v>
      </c>
      <c r="G218">
        <v>3781</v>
      </c>
      <c r="H218">
        <v>4601</v>
      </c>
      <c r="I218">
        <v>3.36</v>
      </c>
      <c r="J218">
        <v>6</v>
      </c>
      <c r="K218">
        <f t="shared" ca="1" si="206"/>
        <v>520</v>
      </c>
      <c r="M218">
        <f t="shared" ca="1" si="207"/>
        <v>520</v>
      </c>
      <c r="N218" t="str">
        <f t="shared" si="208"/>
        <v>Excellent</v>
      </c>
      <c r="O218" t="e">
        <f t="shared" si="209"/>
        <v>#N/A</v>
      </c>
      <c r="P218" t="str">
        <f t="shared" si="210"/>
        <v>YES</v>
      </c>
      <c r="Q218">
        <f t="shared" si="195"/>
        <v>701823</v>
      </c>
      <c r="R218" t="str">
        <f t="shared" si="211"/>
        <v>2023-2024</v>
      </c>
    </row>
    <row r="219" spans="1:18" hidden="1" x14ac:dyDescent="0.25">
      <c r="A219" t="s">
        <v>562</v>
      </c>
      <c r="B219" t="s">
        <v>563</v>
      </c>
      <c r="C219" t="s">
        <v>8</v>
      </c>
      <c r="D219" t="s">
        <v>65</v>
      </c>
      <c r="E219" t="s">
        <v>564</v>
      </c>
      <c r="F219" t="s">
        <v>11</v>
      </c>
      <c r="G219">
        <v>12986</v>
      </c>
      <c r="H219">
        <v>7952</v>
      </c>
      <c r="I219">
        <v>2.85</v>
      </c>
      <c r="J219">
        <v>90</v>
      </c>
      <c r="Q219">
        <f t="shared" si="195"/>
        <v>701823</v>
      </c>
    </row>
    <row r="220" spans="1:18" x14ac:dyDescent="0.25">
      <c r="A220" t="s">
        <v>565</v>
      </c>
      <c r="B220" t="s">
        <v>566</v>
      </c>
      <c r="C220" t="s">
        <v>58</v>
      </c>
      <c r="D220" t="s">
        <v>3</v>
      </c>
      <c r="E220" s="1">
        <v>44748</v>
      </c>
      <c r="F220" t="s">
        <v>5</v>
      </c>
      <c r="G220">
        <v>5785</v>
      </c>
      <c r="H220">
        <v>8652</v>
      </c>
      <c r="I220">
        <v>3.75</v>
      </c>
      <c r="J220">
        <v>96</v>
      </c>
      <c r="K220">
        <f t="shared" ref="K220:K228" ca="1" si="212">IF(F220="Enrolled", TODAY()-E220, "")</f>
        <v>1219</v>
      </c>
      <c r="M220">
        <f t="shared" ref="M220:M228" ca="1" si="213">IF(F220="Enrolled",TODAY() - E220,"")</f>
        <v>1219</v>
      </c>
      <c r="N220" t="str">
        <f t="shared" ref="N220:N228" si="214">IF(I222&gt;=3.5,"Excellent",IF(I222&gt;=3,"Good",IF(I222&gt;=2,"Average","Poor")))</f>
        <v>Average</v>
      </c>
      <c r="O220" t="e">
        <f t="shared" ref="O220:O228" si="215">VLOOKUP(D220, $T$18:$U$23, 2, FALSE)</f>
        <v>#N/A</v>
      </c>
      <c r="P220" t="str">
        <f t="shared" ref="P220:P228" si="216">IF(H220 &gt; 0.5 * G220, "YES", "NO")</f>
        <v>YES</v>
      </c>
      <c r="Q220">
        <f t="shared" si="195"/>
        <v>701823</v>
      </c>
      <c r="R220" t="str">
        <f t="shared" ref="R220:R228" si="217">IF(MONTH(E214)&gt;=6, YEAR(E214) &amp; "-" &amp; YEAR(E214)+1, YEAR(E214)-1 &amp; "-" &amp; YEAR(E214))</f>
        <v>2023-2024</v>
      </c>
    </row>
    <row r="221" spans="1:18" x14ac:dyDescent="0.25">
      <c r="A221" t="s">
        <v>567</v>
      </c>
      <c r="B221" t="s">
        <v>568</v>
      </c>
      <c r="C221" t="s">
        <v>8</v>
      </c>
      <c r="D221" t="s">
        <v>65</v>
      </c>
      <c r="E221" t="s">
        <v>569</v>
      </c>
      <c r="F221" t="s">
        <v>5</v>
      </c>
      <c r="G221">
        <v>6786</v>
      </c>
      <c r="H221">
        <v>6481</v>
      </c>
      <c r="I221">
        <v>2.57</v>
      </c>
      <c r="J221">
        <v>28</v>
      </c>
      <c r="K221">
        <f t="shared" ca="1" si="212"/>
        <v>1043</v>
      </c>
      <c r="M221">
        <f t="shared" ca="1" si="213"/>
        <v>1043</v>
      </c>
      <c r="N221" t="str">
        <f t="shared" si="214"/>
        <v>Excellent</v>
      </c>
      <c r="O221" t="e">
        <f t="shared" si="215"/>
        <v>#N/A</v>
      </c>
      <c r="P221" t="str">
        <f t="shared" si="216"/>
        <v>YES</v>
      </c>
      <c r="Q221">
        <f t="shared" si="195"/>
        <v>701823</v>
      </c>
      <c r="R221" t="str">
        <f t="shared" si="217"/>
        <v>2023-2024</v>
      </c>
    </row>
    <row r="222" spans="1:18" x14ac:dyDescent="0.25">
      <c r="A222" t="s">
        <v>570</v>
      </c>
      <c r="B222" t="s">
        <v>571</v>
      </c>
      <c r="C222" t="s">
        <v>21</v>
      </c>
      <c r="D222" t="s">
        <v>25</v>
      </c>
      <c r="E222" s="1">
        <v>44814</v>
      </c>
      <c r="F222" t="s">
        <v>5</v>
      </c>
      <c r="G222">
        <v>6615</v>
      </c>
      <c r="H222">
        <v>199</v>
      </c>
      <c r="I222">
        <v>2.04</v>
      </c>
      <c r="J222">
        <v>38</v>
      </c>
      <c r="K222">
        <f t="shared" ca="1" si="212"/>
        <v>1153</v>
      </c>
      <c r="M222">
        <f t="shared" ca="1" si="213"/>
        <v>1153</v>
      </c>
      <c r="N222" t="str">
        <f t="shared" si="214"/>
        <v>Good</v>
      </c>
      <c r="O222" t="e">
        <f t="shared" si="215"/>
        <v>#N/A</v>
      </c>
      <c r="P222" t="str">
        <f t="shared" si="216"/>
        <v>NO</v>
      </c>
      <c r="Q222">
        <f t="shared" si="195"/>
        <v>701823</v>
      </c>
      <c r="R222" t="str">
        <f t="shared" si="217"/>
        <v>2023-2024</v>
      </c>
    </row>
    <row r="223" spans="1:18" x14ac:dyDescent="0.25">
      <c r="A223" t="s">
        <v>572</v>
      </c>
      <c r="B223" t="s">
        <v>573</v>
      </c>
      <c r="C223" t="s">
        <v>55</v>
      </c>
      <c r="D223" t="s">
        <v>9</v>
      </c>
      <c r="E223" s="1">
        <v>45449</v>
      </c>
      <c r="F223" t="s">
        <v>5</v>
      </c>
      <c r="G223">
        <v>9625</v>
      </c>
      <c r="H223">
        <v>8374</v>
      </c>
      <c r="I223">
        <v>3.69</v>
      </c>
      <c r="J223">
        <v>6</v>
      </c>
      <c r="K223">
        <f t="shared" ca="1" si="212"/>
        <v>518</v>
      </c>
      <c r="M223">
        <f t="shared" ca="1" si="213"/>
        <v>518</v>
      </c>
      <c r="N223" t="str">
        <f t="shared" si="214"/>
        <v>Excellent</v>
      </c>
      <c r="O223" t="e">
        <f t="shared" si="215"/>
        <v>#N/A</v>
      </c>
      <c r="P223" t="str">
        <f t="shared" si="216"/>
        <v>YES</v>
      </c>
      <c r="Q223">
        <f t="shared" si="195"/>
        <v>701823</v>
      </c>
      <c r="R223" t="str">
        <f t="shared" si="217"/>
        <v>2022-2023</v>
      </c>
    </row>
    <row r="224" spans="1:18" x14ac:dyDescent="0.25">
      <c r="A224" t="s">
        <v>574</v>
      </c>
      <c r="B224" t="s">
        <v>575</v>
      </c>
      <c r="C224" t="s">
        <v>58</v>
      </c>
      <c r="D224" t="s">
        <v>65</v>
      </c>
      <c r="E224" t="s">
        <v>576</v>
      </c>
      <c r="F224" t="s">
        <v>5</v>
      </c>
      <c r="G224">
        <v>13304</v>
      </c>
      <c r="H224">
        <v>6463</v>
      </c>
      <c r="I224">
        <v>3.24</v>
      </c>
      <c r="J224">
        <v>96</v>
      </c>
      <c r="K224">
        <f t="shared" ca="1" si="212"/>
        <v>775</v>
      </c>
      <c r="M224">
        <f t="shared" ca="1" si="213"/>
        <v>775</v>
      </c>
      <c r="N224" t="str">
        <f t="shared" si="214"/>
        <v>Average</v>
      </c>
      <c r="O224" t="e">
        <f t="shared" si="215"/>
        <v>#N/A</v>
      </c>
      <c r="P224" t="str">
        <f t="shared" si="216"/>
        <v>NO</v>
      </c>
      <c r="Q224">
        <f t="shared" si="195"/>
        <v>701823</v>
      </c>
      <c r="R224" t="str">
        <f t="shared" si="217"/>
        <v>2024-2025</v>
      </c>
    </row>
    <row r="225" spans="1:18" x14ac:dyDescent="0.25">
      <c r="A225" t="s">
        <v>577</v>
      </c>
      <c r="B225" t="s">
        <v>578</v>
      </c>
      <c r="C225" t="s">
        <v>55</v>
      </c>
      <c r="D225" t="s">
        <v>3</v>
      </c>
      <c r="E225" s="1">
        <v>45176</v>
      </c>
      <c r="F225" t="s">
        <v>5</v>
      </c>
      <c r="G225">
        <v>4559</v>
      </c>
      <c r="H225">
        <v>385</v>
      </c>
      <c r="I225">
        <v>3.67</v>
      </c>
      <c r="J225">
        <v>105</v>
      </c>
      <c r="K225">
        <f t="shared" ca="1" si="212"/>
        <v>791</v>
      </c>
      <c r="M225">
        <f t="shared" ca="1" si="213"/>
        <v>791</v>
      </c>
      <c r="N225" t="str">
        <f t="shared" si="214"/>
        <v>Average</v>
      </c>
      <c r="O225" t="e">
        <f t="shared" si="215"/>
        <v>#N/A</v>
      </c>
      <c r="P225" t="str">
        <f t="shared" si="216"/>
        <v>NO</v>
      </c>
      <c r="Q225">
        <f t="shared" si="195"/>
        <v>701823</v>
      </c>
      <c r="R225" t="str">
        <f t="shared" si="217"/>
        <v>2023-2024</v>
      </c>
    </row>
    <row r="226" spans="1:18" x14ac:dyDescent="0.25">
      <c r="A226" t="s">
        <v>579</v>
      </c>
      <c r="B226" t="s">
        <v>580</v>
      </c>
      <c r="C226" t="s">
        <v>58</v>
      </c>
      <c r="D226" t="s">
        <v>25</v>
      </c>
      <c r="E226" s="1">
        <v>44659</v>
      </c>
      <c r="F226" t="s">
        <v>5</v>
      </c>
      <c r="G226">
        <v>4418</v>
      </c>
      <c r="H226">
        <v>295</v>
      </c>
      <c r="I226">
        <v>2.12</v>
      </c>
      <c r="J226">
        <v>65</v>
      </c>
      <c r="K226">
        <f t="shared" ca="1" si="212"/>
        <v>1308</v>
      </c>
      <c r="M226">
        <f t="shared" ca="1" si="213"/>
        <v>1308</v>
      </c>
      <c r="N226" t="str">
        <f t="shared" si="214"/>
        <v>Average</v>
      </c>
      <c r="O226" t="e">
        <f t="shared" si="215"/>
        <v>#N/A</v>
      </c>
      <c r="P226" t="str">
        <f t="shared" si="216"/>
        <v>NO</v>
      </c>
      <c r="Q226">
        <f t="shared" si="195"/>
        <v>701823</v>
      </c>
      <c r="R226" t="str">
        <f t="shared" si="217"/>
        <v>2022-2023</v>
      </c>
    </row>
    <row r="227" spans="1:18" x14ac:dyDescent="0.25">
      <c r="A227" t="s">
        <v>581</v>
      </c>
      <c r="B227" t="s">
        <v>582</v>
      </c>
      <c r="C227" t="s">
        <v>21</v>
      </c>
      <c r="D227" t="s">
        <v>9</v>
      </c>
      <c r="E227" s="1">
        <v>44783</v>
      </c>
      <c r="F227" t="s">
        <v>5</v>
      </c>
      <c r="G227">
        <v>11433</v>
      </c>
      <c r="H227">
        <v>5463</v>
      </c>
      <c r="I227">
        <v>2.87</v>
      </c>
      <c r="J227">
        <v>55</v>
      </c>
      <c r="K227">
        <f t="shared" ca="1" si="212"/>
        <v>1184</v>
      </c>
      <c r="M227">
        <f t="shared" ca="1" si="213"/>
        <v>1184</v>
      </c>
      <c r="N227" t="str">
        <f t="shared" si="214"/>
        <v>Average</v>
      </c>
      <c r="O227" t="e">
        <f t="shared" si="215"/>
        <v>#N/A</v>
      </c>
      <c r="P227" t="str">
        <f t="shared" si="216"/>
        <v>NO</v>
      </c>
      <c r="Q227">
        <f t="shared" si="195"/>
        <v>701823</v>
      </c>
      <c r="R227" t="str">
        <f t="shared" si="217"/>
        <v>2022-2023</v>
      </c>
    </row>
    <row r="228" spans="1:18" x14ac:dyDescent="0.25">
      <c r="A228" t="s">
        <v>583</v>
      </c>
      <c r="B228" t="s">
        <v>584</v>
      </c>
      <c r="C228" t="s">
        <v>21</v>
      </c>
      <c r="D228" t="s">
        <v>65</v>
      </c>
      <c r="E228" s="1">
        <v>45238</v>
      </c>
      <c r="F228" t="s">
        <v>5</v>
      </c>
      <c r="G228">
        <v>10920</v>
      </c>
      <c r="H228">
        <v>1855</v>
      </c>
      <c r="I228">
        <v>2.5299999999999998</v>
      </c>
      <c r="J228">
        <v>35</v>
      </c>
      <c r="K228">
        <f t="shared" ca="1" si="212"/>
        <v>729</v>
      </c>
      <c r="M228">
        <f t="shared" ca="1" si="213"/>
        <v>729</v>
      </c>
      <c r="N228" t="str">
        <f t="shared" si="214"/>
        <v>Good</v>
      </c>
      <c r="O228" t="e">
        <f t="shared" si="215"/>
        <v>#N/A</v>
      </c>
      <c r="P228" t="str">
        <f t="shared" si="216"/>
        <v>NO</v>
      </c>
      <c r="Q228">
        <f t="shared" si="195"/>
        <v>701823</v>
      </c>
      <c r="R228" t="str">
        <f t="shared" si="217"/>
        <v>2022-2023</v>
      </c>
    </row>
    <row r="229" spans="1:18" hidden="1" x14ac:dyDescent="0.25">
      <c r="A229" t="s">
        <v>585</v>
      </c>
      <c r="B229" t="s">
        <v>586</v>
      </c>
      <c r="C229" t="s">
        <v>32</v>
      </c>
      <c r="D229" t="s">
        <v>3</v>
      </c>
      <c r="E229" t="s">
        <v>587</v>
      </c>
      <c r="F229" t="s">
        <v>11</v>
      </c>
      <c r="G229">
        <v>7532</v>
      </c>
      <c r="H229">
        <v>5770</v>
      </c>
      <c r="I229">
        <v>2.84</v>
      </c>
      <c r="J229">
        <v>53</v>
      </c>
      <c r="Q229">
        <f t="shared" si="195"/>
        <v>701823</v>
      </c>
    </row>
    <row r="230" spans="1:18" x14ac:dyDescent="0.25">
      <c r="A230" t="s">
        <v>588</v>
      </c>
      <c r="B230" t="s">
        <v>589</v>
      </c>
      <c r="C230" t="s">
        <v>21</v>
      </c>
      <c r="D230" t="s">
        <v>65</v>
      </c>
      <c r="E230" t="s">
        <v>590</v>
      </c>
      <c r="F230" t="s">
        <v>5</v>
      </c>
      <c r="G230">
        <v>4365</v>
      </c>
      <c r="H230">
        <v>9361</v>
      </c>
      <c r="I230">
        <v>3.09</v>
      </c>
      <c r="J230">
        <v>24</v>
      </c>
      <c r="K230">
        <f t="shared" ref="K230" ca="1" si="218">IF(F230="Enrolled", TODAY()-E230, "")</f>
        <v>741</v>
      </c>
      <c r="M230">
        <f ca="1">IF(F230="Enrolled",TODAY() - E230,"")</f>
        <v>741</v>
      </c>
      <c r="N230" t="str">
        <f>IF(I232&gt;=3.5,"Excellent",IF(I232&gt;=3,"Good",IF(I232&gt;=2,"Average","Poor")))</f>
        <v>Average</v>
      </c>
      <c r="O230" t="e">
        <f>VLOOKUP(D230, $T$18:$U$23, 2, FALSE)</f>
        <v>#N/A</v>
      </c>
      <c r="P230" t="str">
        <f t="shared" ref="P230" si="219">IF(H230 &gt; 0.5 * G230, "YES", "NO")</f>
        <v>YES</v>
      </c>
      <c r="Q230">
        <f t="shared" si="195"/>
        <v>701823</v>
      </c>
      <c r="R230" t="str">
        <f>IF(MONTH(E224)&gt;=6, YEAR(E224) &amp; "-" &amp; YEAR(E224)+1, YEAR(E224)-1 &amp; "-" &amp; YEAR(E224))</f>
        <v>2023-2024</v>
      </c>
    </row>
    <row r="231" spans="1:18" hidden="1" x14ac:dyDescent="0.25">
      <c r="A231" t="s">
        <v>591</v>
      </c>
      <c r="B231" t="s">
        <v>592</v>
      </c>
      <c r="C231" t="s">
        <v>55</v>
      </c>
      <c r="D231" t="s">
        <v>3</v>
      </c>
      <c r="E231" s="1">
        <v>44743</v>
      </c>
      <c r="F231" t="s">
        <v>11</v>
      </c>
      <c r="G231">
        <v>8437</v>
      </c>
      <c r="H231">
        <v>5207</v>
      </c>
      <c r="I231">
        <v>2.61</v>
      </c>
      <c r="J231">
        <v>78</v>
      </c>
      <c r="Q231">
        <f t="shared" si="195"/>
        <v>701823</v>
      </c>
    </row>
    <row r="232" spans="1:18" x14ac:dyDescent="0.25">
      <c r="A232" t="s">
        <v>593</v>
      </c>
      <c r="B232" t="s">
        <v>594</v>
      </c>
      <c r="C232" t="s">
        <v>55</v>
      </c>
      <c r="D232" t="s">
        <v>65</v>
      </c>
      <c r="E232" t="s">
        <v>595</v>
      </c>
      <c r="F232" t="s">
        <v>5</v>
      </c>
      <c r="G232">
        <v>8696</v>
      </c>
      <c r="H232">
        <v>684</v>
      </c>
      <c r="I232">
        <v>2.88</v>
      </c>
      <c r="J232">
        <v>83</v>
      </c>
      <c r="K232">
        <f t="shared" ref="K232" ca="1" si="220">IF(F232="Enrolled", TODAY()-E232, "")</f>
        <v>982</v>
      </c>
      <c r="M232">
        <f ca="1">IF(F232="Enrolled",TODAY() - E232,"")</f>
        <v>982</v>
      </c>
      <c r="N232" t="str">
        <f>IF(I234&gt;=3.5,"Excellent",IF(I234&gt;=3,"Good",IF(I234&gt;=2,"Average","Poor")))</f>
        <v>Good</v>
      </c>
      <c r="O232" t="e">
        <f>VLOOKUP(D232, $T$18:$U$23, 2, FALSE)</f>
        <v>#N/A</v>
      </c>
      <c r="P232" t="str">
        <f t="shared" ref="P232" si="221">IF(H232 &gt; 0.5 * G232, "YES", "NO")</f>
        <v>NO</v>
      </c>
      <c r="Q232">
        <f t="shared" si="195"/>
        <v>701823</v>
      </c>
      <c r="R232" t="str">
        <f>IF(MONTH(E226)&gt;=6, YEAR(E226) &amp; "-" &amp; YEAR(E226)+1, YEAR(E226)-1 &amp; "-" &amp; YEAR(E226))</f>
        <v>2021-2022</v>
      </c>
    </row>
    <row r="233" spans="1:18" hidden="1" x14ac:dyDescent="0.25">
      <c r="A233" t="s">
        <v>596</v>
      </c>
      <c r="B233" t="s">
        <v>597</v>
      </c>
      <c r="C233" t="s">
        <v>14</v>
      </c>
      <c r="D233" t="s">
        <v>65</v>
      </c>
      <c r="E233" s="1">
        <v>44566</v>
      </c>
      <c r="F233" t="s">
        <v>11</v>
      </c>
      <c r="G233">
        <v>11639</v>
      </c>
      <c r="H233">
        <v>4226</v>
      </c>
      <c r="I233">
        <v>3.24</v>
      </c>
      <c r="J233">
        <v>43</v>
      </c>
      <c r="Q233">
        <f t="shared" si="195"/>
        <v>701823</v>
      </c>
    </row>
    <row r="234" spans="1:18" hidden="1" x14ac:dyDescent="0.25">
      <c r="A234" t="s">
        <v>598</v>
      </c>
      <c r="B234" t="s">
        <v>599</v>
      </c>
      <c r="C234" t="s">
        <v>21</v>
      </c>
      <c r="D234" t="s">
        <v>9</v>
      </c>
      <c r="E234" t="s">
        <v>600</v>
      </c>
      <c r="F234" t="s">
        <v>11</v>
      </c>
      <c r="G234">
        <v>14104</v>
      </c>
      <c r="H234">
        <v>7961</v>
      </c>
      <c r="I234">
        <v>3.12</v>
      </c>
      <c r="J234">
        <v>119</v>
      </c>
      <c r="Q234">
        <f t="shared" si="195"/>
        <v>701823</v>
      </c>
    </row>
    <row r="235" spans="1:18" hidden="1" x14ac:dyDescent="0.25">
      <c r="A235" t="s">
        <v>601</v>
      </c>
      <c r="B235" t="s">
        <v>602</v>
      </c>
      <c r="C235" t="s">
        <v>17</v>
      </c>
      <c r="D235" t="s">
        <v>9</v>
      </c>
      <c r="E235" s="1">
        <v>45269</v>
      </c>
      <c r="F235" t="s">
        <v>36</v>
      </c>
      <c r="G235">
        <v>8577</v>
      </c>
      <c r="H235">
        <v>1188</v>
      </c>
      <c r="I235">
        <v>2.21</v>
      </c>
      <c r="J235">
        <v>47</v>
      </c>
      <c r="Q235">
        <f t="shared" si="195"/>
        <v>687719</v>
      </c>
    </row>
    <row r="236" spans="1:18" hidden="1" x14ac:dyDescent="0.25">
      <c r="A236" t="s">
        <v>603</v>
      </c>
      <c r="B236" t="s">
        <v>604</v>
      </c>
      <c r="C236" t="s">
        <v>17</v>
      </c>
      <c r="D236" t="s">
        <v>3</v>
      </c>
      <c r="E236" t="s">
        <v>605</v>
      </c>
      <c r="F236" t="s">
        <v>11</v>
      </c>
      <c r="G236">
        <v>9465</v>
      </c>
      <c r="H236">
        <v>4415</v>
      </c>
      <c r="I236">
        <v>2.44</v>
      </c>
      <c r="J236">
        <v>62</v>
      </c>
      <c r="Q236">
        <f t="shared" si="195"/>
        <v>687719</v>
      </c>
    </row>
    <row r="237" spans="1:18" x14ac:dyDescent="0.25">
      <c r="A237" t="s">
        <v>606</v>
      </c>
      <c r="B237" t="s">
        <v>607</v>
      </c>
      <c r="C237" t="s">
        <v>58</v>
      </c>
      <c r="D237" t="s">
        <v>3</v>
      </c>
      <c r="E237" t="s">
        <v>177</v>
      </c>
      <c r="F237" t="s">
        <v>5</v>
      </c>
      <c r="G237">
        <v>11825</v>
      </c>
      <c r="H237">
        <v>1060</v>
      </c>
      <c r="I237">
        <v>2.14</v>
      </c>
      <c r="J237">
        <v>90</v>
      </c>
      <c r="K237">
        <f t="shared" ref="K237:K241" ca="1" si="222">IF(F237="Enrolled", TODAY()-E237, "")</f>
        <v>1231</v>
      </c>
      <c r="M237">
        <f t="shared" ref="M237:M241" ca="1" si="223">IF(F237="Enrolled",TODAY() - E237,"")</f>
        <v>1231</v>
      </c>
      <c r="N237" t="str">
        <f t="shared" ref="N237:N241" si="224">IF(I239&gt;=3.5,"Excellent",IF(I239&gt;=3,"Good",IF(I239&gt;=2,"Average","Poor")))</f>
        <v>Good</v>
      </c>
      <c r="O237" t="e">
        <f t="shared" ref="O237:O241" si="225">VLOOKUP(D237, $T$18:$U$23, 2, FALSE)</f>
        <v>#N/A</v>
      </c>
      <c r="P237" t="str">
        <f t="shared" ref="P237:P241" si="226">IF(H237 &gt; 0.5 * G237, "YES", "NO")</f>
        <v>NO</v>
      </c>
      <c r="Q237">
        <f t="shared" si="195"/>
        <v>687719</v>
      </c>
      <c r="R237" t="str">
        <f t="shared" ref="R237:R241" si="227">IF(MONTH(E231)&gt;=6, YEAR(E231) &amp; "-" &amp; YEAR(E231)+1, YEAR(E231)-1 &amp; "-" &amp; YEAR(E231))</f>
        <v>2022-2023</v>
      </c>
    </row>
    <row r="238" spans="1:18" x14ac:dyDescent="0.25">
      <c r="A238" t="s">
        <v>608</v>
      </c>
      <c r="B238" t="s">
        <v>609</v>
      </c>
      <c r="C238" t="s">
        <v>58</v>
      </c>
      <c r="D238" t="s">
        <v>65</v>
      </c>
      <c r="E238" s="1">
        <v>45150</v>
      </c>
      <c r="F238" t="s">
        <v>5</v>
      </c>
      <c r="G238">
        <v>12026</v>
      </c>
      <c r="H238">
        <v>5856</v>
      </c>
      <c r="I238">
        <v>3.64</v>
      </c>
      <c r="J238">
        <v>15</v>
      </c>
      <c r="K238">
        <f t="shared" ca="1" si="222"/>
        <v>817</v>
      </c>
      <c r="M238">
        <f t="shared" ca="1" si="223"/>
        <v>817</v>
      </c>
      <c r="N238" t="str">
        <f t="shared" si="224"/>
        <v>Good</v>
      </c>
      <c r="O238" t="e">
        <f t="shared" si="225"/>
        <v>#N/A</v>
      </c>
      <c r="P238" t="str">
        <f t="shared" si="226"/>
        <v>NO</v>
      </c>
      <c r="Q238">
        <f t="shared" si="195"/>
        <v>687719</v>
      </c>
      <c r="R238" t="str">
        <f t="shared" si="227"/>
        <v>2022-2023</v>
      </c>
    </row>
    <row r="239" spans="1:18" x14ac:dyDescent="0.25">
      <c r="A239" t="s">
        <v>610</v>
      </c>
      <c r="B239" t="s">
        <v>611</v>
      </c>
      <c r="C239" t="s">
        <v>32</v>
      </c>
      <c r="D239" t="s">
        <v>3</v>
      </c>
      <c r="E239" s="1">
        <v>45174</v>
      </c>
      <c r="F239" t="s">
        <v>5</v>
      </c>
      <c r="G239">
        <v>12137</v>
      </c>
      <c r="H239">
        <v>8974</v>
      </c>
      <c r="I239">
        <v>3.33</v>
      </c>
      <c r="J239">
        <v>59</v>
      </c>
      <c r="K239">
        <f t="shared" ca="1" si="222"/>
        <v>793</v>
      </c>
      <c r="M239">
        <f t="shared" ca="1" si="223"/>
        <v>793</v>
      </c>
      <c r="N239" t="str">
        <f t="shared" si="224"/>
        <v>Average</v>
      </c>
      <c r="O239" t="e">
        <f t="shared" si="225"/>
        <v>#N/A</v>
      </c>
      <c r="P239" t="str">
        <f t="shared" si="226"/>
        <v>YES</v>
      </c>
      <c r="Q239">
        <f t="shared" si="195"/>
        <v>687719</v>
      </c>
      <c r="R239" t="str">
        <f t="shared" si="227"/>
        <v>2021-2022</v>
      </c>
    </row>
    <row r="240" spans="1:18" x14ac:dyDescent="0.25">
      <c r="A240" t="s">
        <v>612</v>
      </c>
      <c r="B240" t="s">
        <v>613</v>
      </c>
      <c r="C240" t="s">
        <v>55</v>
      </c>
      <c r="D240" t="s">
        <v>9</v>
      </c>
      <c r="E240" t="s">
        <v>614</v>
      </c>
      <c r="F240" t="s">
        <v>5</v>
      </c>
      <c r="G240">
        <v>13153</v>
      </c>
      <c r="H240">
        <v>7899</v>
      </c>
      <c r="I240">
        <v>3.35</v>
      </c>
      <c r="J240">
        <v>4</v>
      </c>
      <c r="K240">
        <f t="shared" ca="1" si="222"/>
        <v>651</v>
      </c>
      <c r="M240">
        <f t="shared" ca="1" si="223"/>
        <v>651</v>
      </c>
      <c r="N240" t="str">
        <f t="shared" si="224"/>
        <v>Average</v>
      </c>
      <c r="O240" t="e">
        <f t="shared" si="225"/>
        <v>#N/A</v>
      </c>
      <c r="P240" t="str">
        <f t="shared" si="226"/>
        <v>YES</v>
      </c>
      <c r="Q240">
        <f t="shared" si="195"/>
        <v>687719</v>
      </c>
      <c r="R240" t="str">
        <f t="shared" si="227"/>
        <v>2023-2024</v>
      </c>
    </row>
    <row r="241" spans="1:18" x14ac:dyDescent="0.25">
      <c r="A241" t="s">
        <v>615</v>
      </c>
      <c r="B241" t="s">
        <v>616</v>
      </c>
      <c r="C241" t="s">
        <v>55</v>
      </c>
      <c r="D241" t="s">
        <v>25</v>
      </c>
      <c r="E241" t="s">
        <v>617</v>
      </c>
      <c r="F241" t="s">
        <v>5</v>
      </c>
      <c r="G241">
        <v>8445</v>
      </c>
      <c r="H241">
        <v>5645</v>
      </c>
      <c r="I241">
        <v>2.66</v>
      </c>
      <c r="J241">
        <v>106</v>
      </c>
      <c r="K241">
        <f t="shared" ca="1" si="222"/>
        <v>590</v>
      </c>
      <c r="M241">
        <f t="shared" ca="1" si="223"/>
        <v>590</v>
      </c>
      <c r="N241" t="str">
        <f t="shared" si="224"/>
        <v>Average</v>
      </c>
      <c r="O241" t="e">
        <f t="shared" si="225"/>
        <v>#N/A</v>
      </c>
      <c r="P241" t="str">
        <f t="shared" si="226"/>
        <v>YES</v>
      </c>
      <c r="Q241">
        <f t="shared" si="195"/>
        <v>687719</v>
      </c>
      <c r="R241" t="str">
        <f t="shared" si="227"/>
        <v>2023-2024</v>
      </c>
    </row>
    <row r="242" spans="1:18" hidden="1" x14ac:dyDescent="0.25">
      <c r="A242" t="s">
        <v>618</v>
      </c>
      <c r="B242" t="s">
        <v>619</v>
      </c>
      <c r="C242" t="s">
        <v>17</v>
      </c>
      <c r="D242" t="s">
        <v>65</v>
      </c>
      <c r="E242" t="s">
        <v>620</v>
      </c>
      <c r="F242" t="s">
        <v>11</v>
      </c>
      <c r="G242">
        <v>6582</v>
      </c>
      <c r="H242">
        <v>7383</v>
      </c>
      <c r="I242">
        <v>2.9</v>
      </c>
      <c r="J242">
        <v>68</v>
      </c>
      <c r="Q242">
        <f t="shared" si="195"/>
        <v>687719</v>
      </c>
    </row>
    <row r="243" spans="1:18" hidden="1" x14ac:dyDescent="0.25">
      <c r="A243" t="s">
        <v>621</v>
      </c>
      <c r="B243" t="s">
        <v>622</v>
      </c>
      <c r="C243" t="s">
        <v>32</v>
      </c>
      <c r="D243" t="s">
        <v>65</v>
      </c>
      <c r="E243" s="1">
        <v>45203</v>
      </c>
      <c r="F243" t="s">
        <v>11</v>
      </c>
      <c r="G243">
        <v>9924</v>
      </c>
      <c r="H243">
        <v>4822</v>
      </c>
      <c r="I243">
        <v>2.79</v>
      </c>
      <c r="J243">
        <v>25</v>
      </c>
      <c r="Q243">
        <f t="shared" si="195"/>
        <v>687719</v>
      </c>
    </row>
    <row r="244" spans="1:18" hidden="1" x14ac:dyDescent="0.25">
      <c r="A244" t="s">
        <v>623</v>
      </c>
      <c r="B244" t="s">
        <v>624</v>
      </c>
      <c r="C244" t="s">
        <v>32</v>
      </c>
      <c r="D244" t="s">
        <v>3</v>
      </c>
      <c r="E244" s="1">
        <v>45292</v>
      </c>
      <c r="F244" t="s">
        <v>11</v>
      </c>
      <c r="G244">
        <v>9436</v>
      </c>
      <c r="H244">
        <v>3767</v>
      </c>
      <c r="I244">
        <v>2.27</v>
      </c>
      <c r="J244">
        <v>69</v>
      </c>
      <c r="Q244">
        <f t="shared" si="195"/>
        <v>687719</v>
      </c>
    </row>
    <row r="245" spans="1:18" x14ac:dyDescent="0.25">
      <c r="A245" t="s">
        <v>625</v>
      </c>
      <c r="B245" t="s">
        <v>626</v>
      </c>
      <c r="C245" t="s">
        <v>21</v>
      </c>
      <c r="D245" t="s">
        <v>25</v>
      </c>
      <c r="E245" t="s">
        <v>627</v>
      </c>
      <c r="F245" t="s">
        <v>5</v>
      </c>
      <c r="G245">
        <v>11021</v>
      </c>
      <c r="H245">
        <v>1197</v>
      </c>
      <c r="I245">
        <v>2.08</v>
      </c>
      <c r="J245">
        <v>13</v>
      </c>
      <c r="K245">
        <f t="shared" ref="K245" ca="1" si="228">IF(F245="Enrolled", TODAY()-E245, "")</f>
        <v>985</v>
      </c>
      <c r="M245">
        <f ca="1">IF(F245="Enrolled",TODAY() - E245,"")</f>
        <v>985</v>
      </c>
      <c r="N245" t="str">
        <f>IF(I247&gt;=3.5,"Excellent",IF(I247&gt;=3,"Good",IF(I247&gt;=2,"Average","Poor")))</f>
        <v>Average</v>
      </c>
      <c r="O245" t="e">
        <f>VLOOKUP(D245, $T$18:$U$23, 2, FALSE)</f>
        <v>#N/A</v>
      </c>
      <c r="P245" t="str">
        <f t="shared" ref="P245" si="229">IF(H245 &gt; 0.5 * G245, "YES", "NO")</f>
        <v>NO</v>
      </c>
      <c r="Q245">
        <f t="shared" si="195"/>
        <v>687719</v>
      </c>
      <c r="R245" t="str">
        <f>IF(MONTH(E239)&gt;=6, YEAR(E239) &amp; "-" &amp; YEAR(E239)+1, YEAR(E239)-1 &amp; "-" &amp; YEAR(E239))</f>
        <v>2023-2024</v>
      </c>
    </row>
    <row r="246" spans="1:18" hidden="1" x14ac:dyDescent="0.25">
      <c r="A246" t="s">
        <v>628</v>
      </c>
      <c r="B246" t="s">
        <v>629</v>
      </c>
      <c r="C246" t="s">
        <v>8</v>
      </c>
      <c r="D246" t="s">
        <v>65</v>
      </c>
      <c r="E246" s="1">
        <v>45177</v>
      </c>
      <c r="F246" t="s">
        <v>36</v>
      </c>
      <c r="G246">
        <v>5204</v>
      </c>
      <c r="H246">
        <v>3851</v>
      </c>
      <c r="I246">
        <v>2.2799999999999998</v>
      </c>
      <c r="J246">
        <v>29</v>
      </c>
      <c r="Q246">
        <f t="shared" si="195"/>
        <v>687719</v>
      </c>
    </row>
    <row r="247" spans="1:18" x14ac:dyDescent="0.25">
      <c r="A247" t="s">
        <v>630</v>
      </c>
      <c r="B247" t="s">
        <v>631</v>
      </c>
      <c r="C247" t="s">
        <v>8</v>
      </c>
      <c r="D247" t="s">
        <v>65</v>
      </c>
      <c r="E247" s="1">
        <v>45601</v>
      </c>
      <c r="F247" t="s">
        <v>5</v>
      </c>
      <c r="G247">
        <v>2031</v>
      </c>
      <c r="H247">
        <v>9223</v>
      </c>
      <c r="I247">
        <v>2.78</v>
      </c>
      <c r="J247">
        <v>49</v>
      </c>
      <c r="K247">
        <f t="shared" ref="K247:K254" ca="1" si="230">IF(F247="Enrolled", TODAY()-E247, "")</f>
        <v>366</v>
      </c>
      <c r="M247">
        <f t="shared" ref="M247:M254" ca="1" si="231">IF(F247="Enrolled",TODAY() - E247,"")</f>
        <v>366</v>
      </c>
      <c r="N247" t="str">
        <f t="shared" ref="N247:N254" si="232">IF(I249&gt;=3.5,"Excellent",IF(I249&gt;=3,"Good",IF(I249&gt;=2,"Average","Poor")))</f>
        <v>Average</v>
      </c>
      <c r="O247" t="e">
        <f t="shared" ref="O247:O254" si="233">VLOOKUP(D247, $T$18:$U$23, 2, FALSE)</f>
        <v>#N/A</v>
      </c>
      <c r="P247" t="str">
        <f t="shared" ref="P247:P254" si="234">IF(H247 &gt; 0.5 * G247, "YES", "NO")</f>
        <v>YES</v>
      </c>
      <c r="Q247">
        <f t="shared" si="195"/>
        <v>687719</v>
      </c>
      <c r="R247" t="str">
        <f t="shared" ref="R247:R254" si="235">IF(MONTH(E241)&gt;=6, YEAR(E241) &amp; "-" &amp; YEAR(E241)+1, YEAR(E241)-1 &amp; "-" &amp; YEAR(E241))</f>
        <v>2023-2024</v>
      </c>
    </row>
    <row r="248" spans="1:18" x14ac:dyDescent="0.25">
      <c r="A248" t="s">
        <v>632</v>
      </c>
      <c r="B248" t="s">
        <v>633</v>
      </c>
      <c r="C248" t="s">
        <v>32</v>
      </c>
      <c r="D248" t="s">
        <v>65</v>
      </c>
      <c r="E248" s="1">
        <v>45628</v>
      </c>
      <c r="F248" t="s">
        <v>5</v>
      </c>
      <c r="G248">
        <v>9136</v>
      </c>
      <c r="H248">
        <v>9130</v>
      </c>
      <c r="I248">
        <v>2.15</v>
      </c>
      <c r="J248">
        <v>53</v>
      </c>
      <c r="K248">
        <f t="shared" ca="1" si="230"/>
        <v>339</v>
      </c>
      <c r="M248">
        <f t="shared" ca="1" si="231"/>
        <v>339</v>
      </c>
      <c r="N248" t="str">
        <f t="shared" si="232"/>
        <v>Average</v>
      </c>
      <c r="O248" t="e">
        <f t="shared" si="233"/>
        <v>#N/A</v>
      </c>
      <c r="P248" t="str">
        <f t="shared" si="234"/>
        <v>YES</v>
      </c>
      <c r="Q248">
        <f t="shared" si="195"/>
        <v>687719</v>
      </c>
      <c r="R248" t="str">
        <f t="shared" si="235"/>
        <v>2022-2023</v>
      </c>
    </row>
    <row r="249" spans="1:18" x14ac:dyDescent="0.25">
      <c r="A249" t="s">
        <v>634</v>
      </c>
      <c r="B249" t="s">
        <v>635</v>
      </c>
      <c r="C249" t="s">
        <v>21</v>
      </c>
      <c r="D249" t="s">
        <v>65</v>
      </c>
      <c r="E249" t="s">
        <v>237</v>
      </c>
      <c r="F249" t="s">
        <v>5</v>
      </c>
      <c r="G249">
        <v>7624</v>
      </c>
      <c r="H249">
        <v>2182</v>
      </c>
      <c r="I249">
        <v>2.35</v>
      </c>
      <c r="J249">
        <v>21</v>
      </c>
      <c r="K249">
        <f t="shared" ca="1" si="230"/>
        <v>1073</v>
      </c>
      <c r="M249">
        <f t="shared" ca="1" si="231"/>
        <v>1073</v>
      </c>
      <c r="N249" t="str">
        <f t="shared" si="232"/>
        <v>Average</v>
      </c>
      <c r="O249" t="e">
        <f t="shared" si="233"/>
        <v>#N/A</v>
      </c>
      <c r="P249" t="str">
        <f t="shared" si="234"/>
        <v>NO</v>
      </c>
      <c r="Q249">
        <f t="shared" si="195"/>
        <v>687719</v>
      </c>
      <c r="R249" t="str">
        <f t="shared" si="235"/>
        <v>2023-2024</v>
      </c>
    </row>
    <row r="250" spans="1:18" x14ac:dyDescent="0.25">
      <c r="A250" t="s">
        <v>636</v>
      </c>
      <c r="B250" t="s">
        <v>637</v>
      </c>
      <c r="C250" t="s">
        <v>55</v>
      </c>
      <c r="D250" t="s">
        <v>9</v>
      </c>
      <c r="E250" t="s">
        <v>638</v>
      </c>
      <c r="F250" t="s">
        <v>5</v>
      </c>
      <c r="G250">
        <v>14896</v>
      </c>
      <c r="H250">
        <v>7193</v>
      </c>
      <c r="I250">
        <v>2.99</v>
      </c>
      <c r="J250">
        <v>19</v>
      </c>
      <c r="K250">
        <f t="shared" ca="1" si="230"/>
        <v>830</v>
      </c>
      <c r="M250">
        <f t="shared" ca="1" si="231"/>
        <v>830</v>
      </c>
      <c r="N250" t="str">
        <f t="shared" si="232"/>
        <v>Average</v>
      </c>
      <c r="O250" t="e">
        <f t="shared" si="233"/>
        <v>#N/A</v>
      </c>
      <c r="P250" t="str">
        <f t="shared" si="234"/>
        <v>NO</v>
      </c>
      <c r="Q250">
        <f t="shared" si="195"/>
        <v>687719</v>
      </c>
      <c r="R250" t="str">
        <f t="shared" si="235"/>
        <v>2023-2024</v>
      </c>
    </row>
    <row r="251" spans="1:18" x14ac:dyDescent="0.25">
      <c r="A251" t="s">
        <v>639</v>
      </c>
      <c r="B251" t="s">
        <v>640</v>
      </c>
      <c r="C251" t="s">
        <v>14</v>
      </c>
      <c r="D251" t="s">
        <v>9</v>
      </c>
      <c r="E251" t="s">
        <v>641</v>
      </c>
      <c r="F251" t="s">
        <v>5</v>
      </c>
      <c r="G251">
        <v>9944</v>
      </c>
      <c r="H251">
        <v>1801</v>
      </c>
      <c r="I251">
        <v>2.2000000000000002</v>
      </c>
      <c r="J251">
        <v>74</v>
      </c>
      <c r="K251">
        <f t="shared" ca="1" si="230"/>
        <v>1025</v>
      </c>
      <c r="M251">
        <f t="shared" ca="1" si="231"/>
        <v>1025</v>
      </c>
      <c r="N251" t="str">
        <f t="shared" si="232"/>
        <v>Excellent</v>
      </c>
      <c r="O251" t="e">
        <f t="shared" si="233"/>
        <v>#N/A</v>
      </c>
      <c r="P251" t="str">
        <f t="shared" si="234"/>
        <v>NO</v>
      </c>
      <c r="Q251">
        <f t="shared" si="195"/>
        <v>687719</v>
      </c>
      <c r="R251" t="str">
        <f t="shared" si="235"/>
        <v>2022-2023</v>
      </c>
    </row>
    <row r="252" spans="1:18" x14ac:dyDescent="0.25">
      <c r="A252" t="s">
        <v>642</v>
      </c>
      <c r="B252" t="s">
        <v>643</v>
      </c>
      <c r="C252" t="s">
        <v>2</v>
      </c>
      <c r="D252" t="s">
        <v>65</v>
      </c>
      <c r="E252" s="1">
        <v>45539</v>
      </c>
      <c r="F252" t="s">
        <v>5</v>
      </c>
      <c r="G252">
        <v>4101</v>
      </c>
      <c r="H252">
        <v>6124</v>
      </c>
      <c r="I252">
        <v>2.59</v>
      </c>
      <c r="J252">
        <v>77</v>
      </c>
      <c r="K252">
        <f t="shared" ca="1" si="230"/>
        <v>428</v>
      </c>
      <c r="M252">
        <f t="shared" ca="1" si="231"/>
        <v>428</v>
      </c>
      <c r="N252" t="str">
        <f t="shared" si="232"/>
        <v>Average</v>
      </c>
      <c r="O252" t="e">
        <f t="shared" si="233"/>
        <v>#N/A</v>
      </c>
      <c r="P252" t="str">
        <f t="shared" si="234"/>
        <v>YES</v>
      </c>
      <c r="Q252">
        <f t="shared" si="195"/>
        <v>687719</v>
      </c>
      <c r="R252" t="str">
        <f t="shared" si="235"/>
        <v>2023-2024</v>
      </c>
    </row>
    <row r="253" spans="1:18" x14ac:dyDescent="0.25">
      <c r="A253" t="s">
        <v>644</v>
      </c>
      <c r="B253" t="s">
        <v>645</v>
      </c>
      <c r="C253" t="s">
        <v>21</v>
      </c>
      <c r="D253" t="s">
        <v>3</v>
      </c>
      <c r="E253" t="s">
        <v>646</v>
      </c>
      <c r="F253" t="s">
        <v>5</v>
      </c>
      <c r="G253">
        <v>2923</v>
      </c>
      <c r="H253">
        <v>6728</v>
      </c>
      <c r="I253">
        <v>3.9</v>
      </c>
      <c r="J253">
        <v>116</v>
      </c>
      <c r="K253">
        <f t="shared" ca="1" si="230"/>
        <v>951</v>
      </c>
      <c r="M253">
        <f t="shared" ca="1" si="231"/>
        <v>951</v>
      </c>
      <c r="N253" t="str">
        <f t="shared" si="232"/>
        <v>Average</v>
      </c>
      <c r="O253" t="e">
        <f t="shared" si="233"/>
        <v>#N/A</v>
      </c>
      <c r="P253" t="str">
        <f t="shared" si="234"/>
        <v>YES</v>
      </c>
      <c r="Q253">
        <f t="shared" si="195"/>
        <v>687719</v>
      </c>
      <c r="R253" t="str">
        <f t="shared" si="235"/>
        <v>2024-2025</v>
      </c>
    </row>
    <row r="254" spans="1:18" x14ac:dyDescent="0.25">
      <c r="A254" t="s">
        <v>647</v>
      </c>
      <c r="B254" t="s">
        <v>648</v>
      </c>
      <c r="C254" t="s">
        <v>2</v>
      </c>
      <c r="D254" t="s">
        <v>25</v>
      </c>
      <c r="E254" t="s">
        <v>649</v>
      </c>
      <c r="F254" t="s">
        <v>5</v>
      </c>
      <c r="G254">
        <v>6135</v>
      </c>
      <c r="H254">
        <v>4716</v>
      </c>
      <c r="I254">
        <v>2.1800000000000002</v>
      </c>
      <c r="J254">
        <v>52</v>
      </c>
      <c r="K254">
        <f t="shared" ca="1" si="230"/>
        <v>1242</v>
      </c>
      <c r="M254">
        <f t="shared" ca="1" si="231"/>
        <v>1242</v>
      </c>
      <c r="N254" t="str">
        <f t="shared" si="232"/>
        <v>Good</v>
      </c>
      <c r="O254" t="e">
        <f t="shared" si="233"/>
        <v>#N/A</v>
      </c>
      <c r="P254" t="str">
        <f t="shared" si="234"/>
        <v>YES</v>
      </c>
      <c r="Q254">
        <f t="shared" si="195"/>
        <v>687719</v>
      </c>
      <c r="R254" t="str">
        <f t="shared" si="235"/>
        <v>2024-2025</v>
      </c>
    </row>
    <row r="255" spans="1:18" hidden="1" x14ac:dyDescent="0.25">
      <c r="A255" t="s">
        <v>650</v>
      </c>
      <c r="B255" t="s">
        <v>651</v>
      </c>
      <c r="C255" t="s">
        <v>55</v>
      </c>
      <c r="D255" t="s">
        <v>65</v>
      </c>
      <c r="E255" s="1">
        <v>45113</v>
      </c>
      <c r="F255" t="s">
        <v>36</v>
      </c>
      <c r="G255">
        <v>5429</v>
      </c>
      <c r="H255">
        <v>7603</v>
      </c>
      <c r="I255">
        <v>2.35</v>
      </c>
      <c r="J255">
        <v>18</v>
      </c>
      <c r="Q255">
        <f t="shared" si="195"/>
        <v>687719</v>
      </c>
    </row>
    <row r="256" spans="1:18" x14ac:dyDescent="0.25">
      <c r="A256" t="s">
        <v>652</v>
      </c>
      <c r="B256" t="s">
        <v>653</v>
      </c>
      <c r="C256" t="s">
        <v>21</v>
      </c>
      <c r="D256" t="s">
        <v>65</v>
      </c>
      <c r="E256" t="s">
        <v>654</v>
      </c>
      <c r="F256" t="s">
        <v>5</v>
      </c>
      <c r="G256">
        <v>9722</v>
      </c>
      <c r="H256">
        <v>9487</v>
      </c>
      <c r="I256">
        <v>3.38</v>
      </c>
      <c r="J256">
        <v>35</v>
      </c>
      <c r="K256">
        <f t="shared" ref="K256:K258" ca="1" si="236">IF(F256="Enrolled", TODAY()-E256, "")</f>
        <v>627</v>
      </c>
      <c r="M256">
        <f t="shared" ref="M256:M258" ca="1" si="237">IF(F256="Enrolled",TODAY() - E256,"")</f>
        <v>627</v>
      </c>
      <c r="N256" t="str">
        <f t="shared" ref="N256:N258" si="238">IF(I258&gt;=3.5,"Excellent",IF(I258&gt;=3,"Good",IF(I258&gt;=2,"Average","Poor")))</f>
        <v>Good</v>
      </c>
      <c r="O256" t="e">
        <f t="shared" ref="O256:O258" si="239">VLOOKUP(D256, $T$18:$U$23, 2, FALSE)</f>
        <v>#N/A</v>
      </c>
      <c r="P256" t="str">
        <f t="shared" ref="P256:P258" si="240">IF(H256 &gt; 0.5 * G256, "YES", "NO")</f>
        <v>YES</v>
      </c>
      <c r="Q256">
        <f t="shared" si="195"/>
        <v>687719</v>
      </c>
      <c r="R256" t="str">
        <f t="shared" ref="R256:R258" si="241">IF(MONTH(E250)&gt;=6, YEAR(E250) &amp; "-" &amp; YEAR(E250)+1, YEAR(E250)-1 &amp; "-" &amp; YEAR(E250))</f>
        <v>2023-2024</v>
      </c>
    </row>
    <row r="257" spans="1:18" x14ac:dyDescent="0.25">
      <c r="A257" t="s">
        <v>655</v>
      </c>
      <c r="B257" t="s">
        <v>656</v>
      </c>
      <c r="C257" t="s">
        <v>2</v>
      </c>
      <c r="D257" t="s">
        <v>25</v>
      </c>
      <c r="E257" t="s">
        <v>657</v>
      </c>
      <c r="F257" t="s">
        <v>5</v>
      </c>
      <c r="G257">
        <v>8231</v>
      </c>
      <c r="H257">
        <v>7185</v>
      </c>
      <c r="I257">
        <v>2.23</v>
      </c>
      <c r="J257">
        <v>106</v>
      </c>
      <c r="K257">
        <f t="shared" ca="1" si="236"/>
        <v>1382</v>
      </c>
      <c r="M257">
        <f t="shared" ca="1" si="237"/>
        <v>1382</v>
      </c>
      <c r="N257" t="str">
        <f t="shared" si="238"/>
        <v>Average</v>
      </c>
      <c r="O257" t="e">
        <f t="shared" si="239"/>
        <v>#N/A</v>
      </c>
      <c r="P257" t="str">
        <f t="shared" si="240"/>
        <v>YES</v>
      </c>
      <c r="Q257">
        <f t="shared" si="195"/>
        <v>687719</v>
      </c>
      <c r="R257" t="str">
        <f t="shared" si="241"/>
        <v>2022-2023</v>
      </c>
    </row>
    <row r="258" spans="1:18" x14ac:dyDescent="0.25">
      <c r="A258" t="s">
        <v>658</v>
      </c>
      <c r="B258" t="s">
        <v>659</v>
      </c>
      <c r="C258" t="s">
        <v>17</v>
      </c>
      <c r="D258" t="s">
        <v>3</v>
      </c>
      <c r="E258" t="s">
        <v>660</v>
      </c>
      <c r="F258" t="s">
        <v>5</v>
      </c>
      <c r="G258">
        <v>6740</v>
      </c>
      <c r="H258">
        <v>1446</v>
      </c>
      <c r="I258">
        <v>3.06</v>
      </c>
      <c r="J258">
        <v>88</v>
      </c>
      <c r="K258">
        <f t="shared" ca="1" si="236"/>
        <v>778</v>
      </c>
      <c r="M258">
        <f t="shared" ca="1" si="237"/>
        <v>778</v>
      </c>
      <c r="N258" t="str">
        <f t="shared" si="238"/>
        <v>Average</v>
      </c>
      <c r="O258" t="e">
        <f t="shared" si="239"/>
        <v>#N/A</v>
      </c>
      <c r="P258" t="str">
        <f t="shared" si="240"/>
        <v>NO</v>
      </c>
      <c r="Q258">
        <f t="shared" si="195"/>
        <v>687719</v>
      </c>
      <c r="R258" t="str">
        <f t="shared" si="241"/>
        <v>2024-2025</v>
      </c>
    </row>
    <row r="259" spans="1:18" hidden="1" x14ac:dyDescent="0.25">
      <c r="A259" t="s">
        <v>661</v>
      </c>
      <c r="B259" t="s">
        <v>662</v>
      </c>
      <c r="C259" t="s">
        <v>55</v>
      </c>
      <c r="D259" t="s">
        <v>25</v>
      </c>
      <c r="E259" t="s">
        <v>663</v>
      </c>
      <c r="F259" t="s">
        <v>11</v>
      </c>
      <c r="G259">
        <v>3472</v>
      </c>
      <c r="H259">
        <v>7647</v>
      </c>
      <c r="I259">
        <v>2.27</v>
      </c>
      <c r="J259">
        <v>70</v>
      </c>
      <c r="Q259">
        <f t="shared" si="195"/>
        <v>687719</v>
      </c>
    </row>
    <row r="260" spans="1:18" hidden="1" x14ac:dyDescent="0.25">
      <c r="A260" t="s">
        <v>664</v>
      </c>
      <c r="B260" t="s">
        <v>665</v>
      </c>
      <c r="C260" t="s">
        <v>21</v>
      </c>
      <c r="D260" t="s">
        <v>25</v>
      </c>
      <c r="E260" s="1">
        <v>45568</v>
      </c>
      <c r="F260" t="s">
        <v>36</v>
      </c>
      <c r="G260">
        <v>14136</v>
      </c>
      <c r="H260">
        <v>1781</v>
      </c>
      <c r="I260">
        <v>2.06</v>
      </c>
      <c r="J260">
        <v>81</v>
      </c>
      <c r="Q260">
        <f t="shared" si="195"/>
        <v>687719</v>
      </c>
    </row>
    <row r="261" spans="1:18" hidden="1" x14ac:dyDescent="0.25">
      <c r="A261" t="s">
        <v>666</v>
      </c>
      <c r="B261" t="s">
        <v>667</v>
      </c>
      <c r="C261" t="s">
        <v>55</v>
      </c>
      <c r="D261" t="s">
        <v>3</v>
      </c>
      <c r="E261" s="1">
        <v>45231</v>
      </c>
      <c r="F261" t="s">
        <v>11</v>
      </c>
      <c r="G261">
        <v>8110</v>
      </c>
      <c r="H261">
        <v>2427</v>
      </c>
      <c r="I261">
        <v>3.44</v>
      </c>
      <c r="J261">
        <v>55</v>
      </c>
      <c r="Q261">
        <f t="shared" si="195"/>
        <v>687719</v>
      </c>
    </row>
    <row r="262" spans="1:18" hidden="1" x14ac:dyDescent="0.25">
      <c r="A262" t="s">
        <v>668</v>
      </c>
      <c r="B262" t="s">
        <v>669</v>
      </c>
      <c r="C262" t="s">
        <v>21</v>
      </c>
      <c r="D262" t="s">
        <v>9</v>
      </c>
      <c r="E262" s="1">
        <v>45202</v>
      </c>
      <c r="F262" t="s">
        <v>11</v>
      </c>
      <c r="G262">
        <v>4090</v>
      </c>
      <c r="H262">
        <v>1536</v>
      </c>
      <c r="I262">
        <v>2.95</v>
      </c>
      <c r="J262">
        <v>60</v>
      </c>
      <c r="Q262">
        <f t="shared" si="195"/>
        <v>687719</v>
      </c>
    </row>
    <row r="263" spans="1:18" x14ac:dyDescent="0.25">
      <c r="A263" t="s">
        <v>670</v>
      </c>
      <c r="B263" t="s">
        <v>671</v>
      </c>
      <c r="C263" t="s">
        <v>32</v>
      </c>
      <c r="D263" t="s">
        <v>3</v>
      </c>
      <c r="E263" t="s">
        <v>672</v>
      </c>
      <c r="F263" t="s">
        <v>5</v>
      </c>
      <c r="G263">
        <v>2654</v>
      </c>
      <c r="H263">
        <v>1494</v>
      </c>
      <c r="I263">
        <v>3.44</v>
      </c>
      <c r="J263">
        <v>78</v>
      </c>
      <c r="K263">
        <f t="shared" ref="K263:K264" ca="1" si="242">IF(F263="Enrolled", TODAY()-E263, "")</f>
        <v>1015</v>
      </c>
      <c r="M263">
        <f t="shared" ref="M263:M264" ca="1" si="243">IF(F263="Enrolled",TODAY() - E263,"")</f>
        <v>1015</v>
      </c>
      <c r="N263" t="str">
        <f t="shared" ref="N263:N264" si="244">IF(I265&gt;=3.5,"Excellent",IF(I265&gt;=3,"Good",IF(I265&gt;=2,"Average","Poor")))</f>
        <v>Average</v>
      </c>
      <c r="O263" t="e">
        <f t="shared" ref="O263:O264" si="245">VLOOKUP(D263, $T$18:$U$23, 2, FALSE)</f>
        <v>#N/A</v>
      </c>
      <c r="P263" t="str">
        <f t="shared" ref="P263:P264" si="246">IF(H263 &gt; 0.5 * G263, "YES", "NO")</f>
        <v>YES</v>
      </c>
      <c r="Q263">
        <f t="shared" si="195"/>
        <v>683629</v>
      </c>
      <c r="R263" t="str">
        <f t="shared" ref="R263:R264" si="247">IF(MONTH(E257)&gt;=6, YEAR(E257) &amp; "-" &amp; YEAR(E257)+1, YEAR(E257)-1 &amp; "-" &amp; YEAR(E257))</f>
        <v>2021-2022</v>
      </c>
    </row>
    <row r="264" spans="1:18" x14ac:dyDescent="0.25">
      <c r="A264" t="s">
        <v>673</v>
      </c>
      <c r="B264" t="s">
        <v>674</v>
      </c>
      <c r="C264" t="s">
        <v>2</v>
      </c>
      <c r="D264" t="s">
        <v>65</v>
      </c>
      <c r="E264" t="s">
        <v>675</v>
      </c>
      <c r="F264" t="s">
        <v>5</v>
      </c>
      <c r="G264">
        <v>14036</v>
      </c>
      <c r="H264">
        <v>9481</v>
      </c>
      <c r="I264">
        <v>3.17</v>
      </c>
      <c r="J264">
        <v>85</v>
      </c>
      <c r="K264">
        <f t="shared" ca="1" si="242"/>
        <v>691</v>
      </c>
      <c r="M264">
        <f t="shared" ca="1" si="243"/>
        <v>691</v>
      </c>
      <c r="N264" t="str">
        <f t="shared" si="244"/>
        <v>Average</v>
      </c>
      <c r="O264" t="e">
        <f t="shared" si="245"/>
        <v>#N/A</v>
      </c>
      <c r="P264" t="str">
        <f t="shared" si="246"/>
        <v>YES</v>
      </c>
      <c r="Q264">
        <f t="shared" si="195"/>
        <v>683629</v>
      </c>
      <c r="R264" t="str">
        <f t="shared" si="247"/>
        <v>2023-2024</v>
      </c>
    </row>
    <row r="265" spans="1:18" hidden="1" x14ac:dyDescent="0.25">
      <c r="A265" t="s">
        <v>676</v>
      </c>
      <c r="B265" t="s">
        <v>677</v>
      </c>
      <c r="C265" t="s">
        <v>2</v>
      </c>
      <c r="D265" t="s">
        <v>25</v>
      </c>
      <c r="E265" t="s">
        <v>111</v>
      </c>
      <c r="F265" t="s">
        <v>11</v>
      </c>
      <c r="G265">
        <v>9912</v>
      </c>
      <c r="H265">
        <v>9447</v>
      </c>
      <c r="I265">
        <v>2.11</v>
      </c>
      <c r="J265">
        <v>10</v>
      </c>
      <c r="Q265">
        <f t="shared" si="195"/>
        <v>683629</v>
      </c>
    </row>
    <row r="266" spans="1:18" hidden="1" x14ac:dyDescent="0.25">
      <c r="A266" t="s">
        <v>678</v>
      </c>
      <c r="B266" t="s">
        <v>679</v>
      </c>
      <c r="C266" t="s">
        <v>17</v>
      </c>
      <c r="D266" t="s">
        <v>3</v>
      </c>
      <c r="E266" t="s">
        <v>680</v>
      </c>
      <c r="F266" t="s">
        <v>11</v>
      </c>
      <c r="G266">
        <v>6111</v>
      </c>
      <c r="H266">
        <v>1558</v>
      </c>
      <c r="I266">
        <v>2.2200000000000002</v>
      </c>
      <c r="J266">
        <v>48</v>
      </c>
      <c r="Q266">
        <f t="shared" si="195"/>
        <v>683629</v>
      </c>
    </row>
    <row r="267" spans="1:18" x14ac:dyDescent="0.25">
      <c r="A267" t="s">
        <v>681</v>
      </c>
      <c r="B267" t="s">
        <v>682</v>
      </c>
      <c r="C267" t="s">
        <v>17</v>
      </c>
      <c r="D267" t="s">
        <v>65</v>
      </c>
      <c r="E267" s="1">
        <v>45538</v>
      </c>
      <c r="F267" t="s">
        <v>5</v>
      </c>
      <c r="G267">
        <v>12375</v>
      </c>
      <c r="H267">
        <v>1292</v>
      </c>
      <c r="I267">
        <v>2.54</v>
      </c>
      <c r="J267">
        <v>40</v>
      </c>
      <c r="K267">
        <f t="shared" ref="K267:K269" ca="1" si="248">IF(F267="Enrolled", TODAY()-E267, "")</f>
        <v>429</v>
      </c>
      <c r="M267">
        <f t="shared" ref="M267:M269" ca="1" si="249">IF(F267="Enrolled",TODAY() - E267,"")</f>
        <v>429</v>
      </c>
      <c r="N267" t="str">
        <f t="shared" ref="N267:N269" si="250">IF(I269&gt;=3.5,"Excellent",IF(I269&gt;=3,"Good",IF(I269&gt;=2,"Average","Poor")))</f>
        <v>Good</v>
      </c>
      <c r="O267" t="e">
        <f t="shared" ref="O267:O269" si="251">VLOOKUP(D267, $T$18:$U$23, 2, FALSE)</f>
        <v>#N/A</v>
      </c>
      <c r="P267" t="str">
        <f t="shared" ref="P267:P269" si="252">IF(H267 &gt; 0.5 * G267, "YES", "NO")</f>
        <v>NO</v>
      </c>
      <c r="Q267">
        <f t="shared" si="195"/>
        <v>683629</v>
      </c>
      <c r="R267" t="str">
        <f t="shared" ref="R267:R269" si="253">IF(MONTH(E261)&gt;=6, YEAR(E261) &amp; "-" &amp; YEAR(E261)+1, YEAR(E261)-1 &amp; "-" &amp; YEAR(E261))</f>
        <v>2023-2024</v>
      </c>
    </row>
    <row r="268" spans="1:18" x14ac:dyDescent="0.25">
      <c r="A268" t="s">
        <v>683</v>
      </c>
      <c r="B268" t="s">
        <v>684</v>
      </c>
      <c r="C268" t="s">
        <v>55</v>
      </c>
      <c r="D268" t="s">
        <v>9</v>
      </c>
      <c r="E268" s="1">
        <v>44877</v>
      </c>
      <c r="F268" t="s">
        <v>5</v>
      </c>
      <c r="G268">
        <v>5864</v>
      </c>
      <c r="H268">
        <v>3943</v>
      </c>
      <c r="I268">
        <v>3.14</v>
      </c>
      <c r="J268">
        <v>79</v>
      </c>
      <c r="K268">
        <f t="shared" ca="1" si="248"/>
        <v>1090</v>
      </c>
      <c r="M268">
        <f t="shared" ca="1" si="249"/>
        <v>1090</v>
      </c>
      <c r="N268" t="str">
        <f t="shared" si="250"/>
        <v>Excellent</v>
      </c>
      <c r="O268" t="e">
        <f t="shared" si="251"/>
        <v>#N/A</v>
      </c>
      <c r="P268" t="str">
        <f t="shared" si="252"/>
        <v>YES</v>
      </c>
      <c r="Q268">
        <f t="shared" si="195"/>
        <v>683629</v>
      </c>
      <c r="R268" t="str">
        <f t="shared" si="253"/>
        <v>2023-2024</v>
      </c>
    </row>
    <row r="269" spans="1:18" x14ac:dyDescent="0.25">
      <c r="A269" t="s">
        <v>685</v>
      </c>
      <c r="B269" t="s">
        <v>686</v>
      </c>
      <c r="C269" t="s">
        <v>17</v>
      </c>
      <c r="D269" t="s">
        <v>3</v>
      </c>
      <c r="E269" t="s">
        <v>687</v>
      </c>
      <c r="F269" t="s">
        <v>5</v>
      </c>
      <c r="G269">
        <v>14547</v>
      </c>
      <c r="H269">
        <v>4922</v>
      </c>
      <c r="I269">
        <v>3.06</v>
      </c>
      <c r="J269">
        <v>67</v>
      </c>
      <c r="K269">
        <f t="shared" ca="1" si="248"/>
        <v>1330</v>
      </c>
      <c r="M269">
        <f t="shared" ca="1" si="249"/>
        <v>1330</v>
      </c>
      <c r="N269" t="str">
        <f t="shared" si="250"/>
        <v>Average</v>
      </c>
      <c r="O269" t="e">
        <f t="shared" si="251"/>
        <v>#N/A</v>
      </c>
      <c r="P269" t="str">
        <f t="shared" si="252"/>
        <v>NO</v>
      </c>
      <c r="Q269">
        <f t="shared" ref="Q269:Q332" si="254">SUMIFS(G269:G1467, F269:F1467, "Completed", D269:D1467, "Science")</f>
        <v>683629</v>
      </c>
      <c r="R269" t="str">
        <f t="shared" si="253"/>
        <v>2022-2023</v>
      </c>
    </row>
    <row r="270" spans="1:18" hidden="1" x14ac:dyDescent="0.25">
      <c r="A270" t="s">
        <v>688</v>
      </c>
      <c r="B270" t="s">
        <v>689</v>
      </c>
      <c r="C270" t="s">
        <v>21</v>
      </c>
      <c r="D270" t="s">
        <v>3</v>
      </c>
      <c r="E270" t="s">
        <v>690</v>
      </c>
      <c r="F270" t="s">
        <v>11</v>
      </c>
      <c r="G270">
        <v>12862</v>
      </c>
      <c r="H270">
        <v>6663</v>
      </c>
      <c r="I270">
        <v>3.69</v>
      </c>
      <c r="J270">
        <v>85</v>
      </c>
      <c r="Q270">
        <f t="shared" si="254"/>
        <v>683629</v>
      </c>
    </row>
    <row r="271" spans="1:18" x14ac:dyDescent="0.25">
      <c r="A271" t="s">
        <v>691</v>
      </c>
      <c r="B271" t="s">
        <v>692</v>
      </c>
      <c r="C271" t="s">
        <v>14</v>
      </c>
      <c r="D271" t="s">
        <v>3</v>
      </c>
      <c r="E271" s="1">
        <v>45027</v>
      </c>
      <c r="F271" t="s">
        <v>5</v>
      </c>
      <c r="G271">
        <v>3181</v>
      </c>
      <c r="H271">
        <v>2030</v>
      </c>
      <c r="I271">
        <v>2.2200000000000002</v>
      </c>
      <c r="J271">
        <v>110</v>
      </c>
      <c r="K271">
        <f t="shared" ref="K271" ca="1" si="255">IF(F271="Enrolled", TODAY()-E271, "")</f>
        <v>940</v>
      </c>
      <c r="M271">
        <f ca="1">IF(F271="Enrolled",TODAY() - E271,"")</f>
        <v>940</v>
      </c>
      <c r="N271" t="str">
        <f>IF(I273&gt;=3.5,"Excellent",IF(I273&gt;=3,"Good",IF(I273&gt;=2,"Average","Poor")))</f>
        <v>Average</v>
      </c>
      <c r="O271" t="e">
        <f>VLOOKUP(D271, $T$18:$U$23, 2, FALSE)</f>
        <v>#N/A</v>
      </c>
      <c r="P271" t="str">
        <f t="shared" ref="P271" si="256">IF(H271 &gt; 0.5 * G271, "YES", "NO")</f>
        <v>YES</v>
      </c>
      <c r="Q271">
        <f t="shared" si="254"/>
        <v>683629</v>
      </c>
      <c r="R271" t="str">
        <f>IF(MONTH(E265)&gt;=6, YEAR(E265) &amp; "-" &amp; YEAR(E265)+1, YEAR(E265)-1 &amp; "-" &amp; YEAR(E265))</f>
        <v>2021-2022</v>
      </c>
    </row>
    <row r="272" spans="1:18" hidden="1" x14ac:dyDescent="0.25">
      <c r="A272" t="s">
        <v>693</v>
      </c>
      <c r="B272" t="s">
        <v>694</v>
      </c>
      <c r="C272" t="s">
        <v>8</v>
      </c>
      <c r="D272" t="s">
        <v>65</v>
      </c>
      <c r="E272" t="s">
        <v>695</v>
      </c>
      <c r="F272" t="s">
        <v>11</v>
      </c>
      <c r="G272">
        <v>7961</v>
      </c>
      <c r="H272">
        <v>6424</v>
      </c>
      <c r="I272">
        <v>3.69</v>
      </c>
      <c r="J272">
        <v>12</v>
      </c>
      <c r="Q272">
        <f t="shared" si="254"/>
        <v>683629</v>
      </c>
    </row>
    <row r="273" spans="1:18" hidden="1" x14ac:dyDescent="0.25">
      <c r="A273" t="s">
        <v>696</v>
      </c>
      <c r="B273" t="s">
        <v>697</v>
      </c>
      <c r="C273" t="s">
        <v>55</v>
      </c>
      <c r="D273" t="s">
        <v>9</v>
      </c>
      <c r="E273" t="s">
        <v>698</v>
      </c>
      <c r="F273" t="s">
        <v>11</v>
      </c>
      <c r="G273">
        <v>3134</v>
      </c>
      <c r="H273">
        <v>313</v>
      </c>
      <c r="I273">
        <v>2.02</v>
      </c>
      <c r="J273">
        <v>112</v>
      </c>
      <c r="Q273">
        <f t="shared" si="254"/>
        <v>683629</v>
      </c>
    </row>
    <row r="274" spans="1:18" hidden="1" x14ac:dyDescent="0.25">
      <c r="A274" t="s">
        <v>699</v>
      </c>
      <c r="B274" t="s">
        <v>700</v>
      </c>
      <c r="C274" t="s">
        <v>58</v>
      </c>
      <c r="D274" t="s">
        <v>9</v>
      </c>
      <c r="E274" t="s">
        <v>701</v>
      </c>
      <c r="F274" t="s">
        <v>11</v>
      </c>
      <c r="G274">
        <v>13777</v>
      </c>
      <c r="H274">
        <v>8538</v>
      </c>
      <c r="I274">
        <v>3.35</v>
      </c>
      <c r="J274">
        <v>22</v>
      </c>
      <c r="Q274">
        <f t="shared" si="254"/>
        <v>680495</v>
      </c>
    </row>
    <row r="275" spans="1:18" x14ac:dyDescent="0.25">
      <c r="A275" t="s">
        <v>702</v>
      </c>
      <c r="B275" t="s">
        <v>703</v>
      </c>
      <c r="C275" t="s">
        <v>58</v>
      </c>
      <c r="D275" t="s">
        <v>3</v>
      </c>
      <c r="E275" s="1">
        <v>45416</v>
      </c>
      <c r="F275" t="s">
        <v>5</v>
      </c>
      <c r="G275">
        <v>13439</v>
      </c>
      <c r="H275">
        <v>2405</v>
      </c>
      <c r="I275">
        <v>2.5099999999999998</v>
      </c>
      <c r="J275">
        <v>104</v>
      </c>
      <c r="K275">
        <f t="shared" ref="K275" ca="1" si="257">IF(F275="Enrolled", TODAY()-E275, "")</f>
        <v>551</v>
      </c>
      <c r="M275">
        <f ca="1">IF(F275="Enrolled",TODAY() - E275,"")</f>
        <v>551</v>
      </c>
      <c r="N275" t="str">
        <f>IF(I277&gt;=3.5,"Excellent",IF(I277&gt;=3,"Good",IF(I277&gt;=2,"Average","Poor")))</f>
        <v>Average</v>
      </c>
      <c r="O275" t="e">
        <f>VLOOKUP(D275, $T$18:$U$23, 2, FALSE)</f>
        <v>#N/A</v>
      </c>
      <c r="P275" t="str">
        <f t="shared" ref="P275" si="258">IF(H275 &gt; 0.5 * G275, "YES", "NO")</f>
        <v>NO</v>
      </c>
      <c r="Q275">
        <f t="shared" si="254"/>
        <v>666718</v>
      </c>
      <c r="R275" t="str">
        <f>IF(MONTH(E269)&gt;=6, YEAR(E269) &amp; "-" &amp; YEAR(E269)+1, YEAR(E269)-1 &amp; "-" &amp; YEAR(E269))</f>
        <v>2021-2022</v>
      </c>
    </row>
    <row r="276" spans="1:18" hidden="1" x14ac:dyDescent="0.25">
      <c r="A276" t="s">
        <v>704</v>
      </c>
      <c r="B276" t="s">
        <v>705</v>
      </c>
      <c r="C276" t="s">
        <v>55</v>
      </c>
      <c r="D276" t="s">
        <v>9</v>
      </c>
      <c r="E276" t="s">
        <v>706</v>
      </c>
      <c r="F276" t="s">
        <v>11</v>
      </c>
      <c r="G276">
        <v>7518</v>
      </c>
      <c r="H276">
        <v>6229</v>
      </c>
      <c r="I276">
        <v>3.59</v>
      </c>
      <c r="J276">
        <v>48</v>
      </c>
      <c r="Q276">
        <f t="shared" si="254"/>
        <v>666718</v>
      </c>
    </row>
    <row r="277" spans="1:18" x14ac:dyDescent="0.25">
      <c r="A277" t="s">
        <v>707</v>
      </c>
      <c r="B277" t="s">
        <v>708</v>
      </c>
      <c r="C277" t="s">
        <v>32</v>
      </c>
      <c r="D277" t="s">
        <v>25</v>
      </c>
      <c r="E277" t="s">
        <v>244</v>
      </c>
      <c r="F277" t="s">
        <v>5</v>
      </c>
      <c r="G277">
        <v>13408</v>
      </c>
      <c r="H277">
        <v>4476</v>
      </c>
      <c r="I277">
        <v>2.15</v>
      </c>
      <c r="J277">
        <v>22</v>
      </c>
      <c r="K277">
        <f t="shared" ref="K277:K278" ca="1" si="259">IF(F277="Enrolled", TODAY()-E277, "")</f>
        <v>894</v>
      </c>
      <c r="M277">
        <f t="shared" ref="M277:M278" ca="1" si="260">IF(F277="Enrolled",TODAY() - E277,"")</f>
        <v>894</v>
      </c>
      <c r="N277" t="str">
        <f t="shared" ref="N277:N278" si="261">IF(I279&gt;=3.5,"Excellent",IF(I279&gt;=3,"Good",IF(I279&gt;=2,"Average","Poor")))</f>
        <v>Good</v>
      </c>
      <c r="O277" t="e">
        <f t="shared" ref="O277:O278" si="262">VLOOKUP(D277, $T$18:$U$23, 2, FALSE)</f>
        <v>#N/A</v>
      </c>
      <c r="P277" t="str">
        <f t="shared" ref="P277:P278" si="263">IF(H277 &gt; 0.5 * G277, "YES", "NO")</f>
        <v>NO</v>
      </c>
      <c r="Q277">
        <f t="shared" si="254"/>
        <v>659200</v>
      </c>
      <c r="R277" t="str">
        <f t="shared" ref="R277:R278" si="264">IF(MONTH(E271)&gt;=6, YEAR(E271) &amp; "-" &amp; YEAR(E271)+1, YEAR(E271)-1 &amp; "-" &amp; YEAR(E271))</f>
        <v>2022-2023</v>
      </c>
    </row>
    <row r="278" spans="1:18" x14ac:dyDescent="0.25">
      <c r="A278" t="s">
        <v>709</v>
      </c>
      <c r="B278" t="s">
        <v>710</v>
      </c>
      <c r="C278" t="s">
        <v>2</v>
      </c>
      <c r="D278" t="s">
        <v>3</v>
      </c>
      <c r="E278" s="1">
        <v>45479</v>
      </c>
      <c r="F278" t="s">
        <v>5</v>
      </c>
      <c r="G278">
        <v>8007</v>
      </c>
      <c r="H278">
        <v>9251</v>
      </c>
      <c r="I278">
        <v>2.42</v>
      </c>
      <c r="J278">
        <v>37</v>
      </c>
      <c r="K278">
        <f t="shared" ca="1" si="259"/>
        <v>488</v>
      </c>
      <c r="M278">
        <f t="shared" ca="1" si="260"/>
        <v>488</v>
      </c>
      <c r="N278" t="str">
        <f t="shared" si="261"/>
        <v>Average</v>
      </c>
      <c r="O278" t="e">
        <f t="shared" si="262"/>
        <v>#N/A</v>
      </c>
      <c r="P278" t="str">
        <f t="shared" si="263"/>
        <v>YES</v>
      </c>
      <c r="Q278">
        <f t="shared" si="254"/>
        <v>659200</v>
      </c>
      <c r="R278" t="str">
        <f t="shared" si="264"/>
        <v>2022-2023</v>
      </c>
    </row>
    <row r="279" spans="1:18" hidden="1" x14ac:dyDescent="0.25">
      <c r="A279" t="s">
        <v>711</v>
      </c>
      <c r="B279" t="s">
        <v>712</v>
      </c>
      <c r="C279" t="s">
        <v>2</v>
      </c>
      <c r="D279" t="s">
        <v>65</v>
      </c>
      <c r="E279" t="s">
        <v>713</v>
      </c>
      <c r="F279" t="s">
        <v>11</v>
      </c>
      <c r="G279">
        <v>9757</v>
      </c>
      <c r="H279">
        <v>7770</v>
      </c>
      <c r="I279">
        <v>3.36</v>
      </c>
      <c r="J279">
        <v>103</v>
      </c>
      <c r="Q279">
        <f t="shared" si="254"/>
        <v>659200</v>
      </c>
    </row>
    <row r="280" spans="1:18" hidden="1" x14ac:dyDescent="0.25">
      <c r="A280" t="s">
        <v>714</v>
      </c>
      <c r="B280" t="s">
        <v>715</v>
      </c>
      <c r="C280" t="s">
        <v>17</v>
      </c>
      <c r="D280" t="s">
        <v>65</v>
      </c>
      <c r="E280" s="1">
        <v>45019</v>
      </c>
      <c r="F280" t="s">
        <v>11</v>
      </c>
      <c r="G280">
        <v>5923</v>
      </c>
      <c r="H280">
        <v>8679</v>
      </c>
      <c r="I280">
        <v>2.2799999999999998</v>
      </c>
      <c r="J280">
        <v>65</v>
      </c>
      <c r="Q280">
        <f t="shared" si="254"/>
        <v>659200</v>
      </c>
    </row>
    <row r="281" spans="1:18" hidden="1" x14ac:dyDescent="0.25">
      <c r="A281" t="s">
        <v>716</v>
      </c>
      <c r="B281" t="s">
        <v>717</v>
      </c>
      <c r="C281" t="s">
        <v>55</v>
      </c>
      <c r="D281" t="s">
        <v>25</v>
      </c>
      <c r="E281" s="1">
        <v>45240</v>
      </c>
      <c r="F281" t="s">
        <v>11</v>
      </c>
      <c r="G281">
        <v>11940</v>
      </c>
      <c r="H281">
        <v>9530</v>
      </c>
      <c r="I281">
        <v>2.02</v>
      </c>
      <c r="J281">
        <v>30</v>
      </c>
      <c r="Q281">
        <f t="shared" si="254"/>
        <v>659200</v>
      </c>
    </row>
    <row r="282" spans="1:18" hidden="1" x14ac:dyDescent="0.25">
      <c r="A282" t="s">
        <v>718</v>
      </c>
      <c r="B282" t="s">
        <v>719</v>
      </c>
      <c r="C282" t="s">
        <v>32</v>
      </c>
      <c r="D282" t="s">
        <v>3</v>
      </c>
      <c r="E282" t="s">
        <v>720</v>
      </c>
      <c r="F282" t="s">
        <v>11</v>
      </c>
      <c r="G282">
        <v>12216</v>
      </c>
      <c r="H282">
        <v>8265</v>
      </c>
      <c r="I282">
        <v>3.42</v>
      </c>
      <c r="J282">
        <v>5</v>
      </c>
      <c r="Q282">
        <f t="shared" si="254"/>
        <v>659200</v>
      </c>
    </row>
    <row r="283" spans="1:18" x14ac:dyDescent="0.25">
      <c r="A283" t="s">
        <v>721</v>
      </c>
      <c r="B283" t="s">
        <v>722</v>
      </c>
      <c r="C283" t="s">
        <v>55</v>
      </c>
      <c r="D283" t="s">
        <v>25</v>
      </c>
      <c r="E283" t="s">
        <v>723</v>
      </c>
      <c r="F283" t="s">
        <v>5</v>
      </c>
      <c r="G283">
        <v>8332</v>
      </c>
      <c r="H283">
        <v>4580</v>
      </c>
      <c r="I283">
        <v>2.6</v>
      </c>
      <c r="J283">
        <v>53</v>
      </c>
      <c r="K283">
        <f t="shared" ref="K283:K284" ca="1" si="265">IF(F283="Enrolled", TODAY()-E283, "")</f>
        <v>1057</v>
      </c>
      <c r="M283">
        <f t="shared" ref="M283:M284" ca="1" si="266">IF(F283="Enrolled",TODAY() - E283,"")</f>
        <v>1057</v>
      </c>
      <c r="N283" t="str">
        <f t="shared" ref="N283:N284" si="267">IF(I285&gt;=3.5,"Excellent",IF(I285&gt;=3,"Good",IF(I285&gt;=2,"Average","Poor")))</f>
        <v>Average</v>
      </c>
      <c r="O283" t="e">
        <f t="shared" ref="O283:O284" si="268">VLOOKUP(D283, $T$18:$U$23, 2, FALSE)</f>
        <v>#N/A</v>
      </c>
      <c r="P283" t="str">
        <f t="shared" ref="P283:P284" si="269">IF(H283 &gt; 0.5 * G283, "YES", "NO")</f>
        <v>YES</v>
      </c>
      <c r="Q283">
        <f t="shared" si="254"/>
        <v>659200</v>
      </c>
      <c r="R283" t="str">
        <f t="shared" ref="R283:R284" si="270">IF(MONTH(E277)&gt;=6, YEAR(E277) &amp; "-" &amp; YEAR(E277)+1, YEAR(E277)-1 &amp; "-" &amp; YEAR(E277))</f>
        <v>2022-2023</v>
      </c>
    </row>
    <row r="284" spans="1:18" x14ac:dyDescent="0.25">
      <c r="A284" t="s">
        <v>724</v>
      </c>
      <c r="B284" t="s">
        <v>725</v>
      </c>
      <c r="C284" t="s">
        <v>55</v>
      </c>
      <c r="D284" t="s">
        <v>25</v>
      </c>
      <c r="E284" s="1">
        <v>44662</v>
      </c>
      <c r="F284" t="s">
        <v>5</v>
      </c>
      <c r="G284">
        <v>8893</v>
      </c>
      <c r="H284">
        <v>6924</v>
      </c>
      <c r="I284">
        <v>3.7</v>
      </c>
      <c r="J284">
        <v>51</v>
      </c>
      <c r="K284">
        <f t="shared" ca="1" si="265"/>
        <v>1305</v>
      </c>
      <c r="M284">
        <f t="shared" ca="1" si="266"/>
        <v>1305</v>
      </c>
      <c r="N284" t="str">
        <f t="shared" si="267"/>
        <v>Average</v>
      </c>
      <c r="O284" t="e">
        <f t="shared" si="268"/>
        <v>#N/A</v>
      </c>
      <c r="P284" t="str">
        <f t="shared" si="269"/>
        <v>YES</v>
      </c>
      <c r="Q284">
        <f t="shared" si="254"/>
        <v>659200</v>
      </c>
      <c r="R284" t="str">
        <f t="shared" si="270"/>
        <v>2024-2025</v>
      </c>
    </row>
    <row r="285" spans="1:18" hidden="1" x14ac:dyDescent="0.25">
      <c r="A285" t="s">
        <v>726</v>
      </c>
      <c r="B285" t="s">
        <v>727</v>
      </c>
      <c r="C285" t="s">
        <v>21</v>
      </c>
      <c r="D285" t="s">
        <v>25</v>
      </c>
      <c r="E285" t="s">
        <v>649</v>
      </c>
      <c r="F285" t="s">
        <v>36</v>
      </c>
      <c r="G285">
        <v>9981</v>
      </c>
      <c r="H285">
        <v>2190</v>
      </c>
      <c r="I285">
        <v>2.12</v>
      </c>
      <c r="J285">
        <v>53</v>
      </c>
      <c r="Q285">
        <f t="shared" si="254"/>
        <v>659200</v>
      </c>
    </row>
    <row r="286" spans="1:18" hidden="1" x14ac:dyDescent="0.25">
      <c r="A286" t="s">
        <v>728</v>
      </c>
      <c r="B286" t="s">
        <v>729</v>
      </c>
      <c r="C286" t="s">
        <v>14</v>
      </c>
      <c r="D286" t="s">
        <v>25</v>
      </c>
      <c r="E286" t="s">
        <v>730</v>
      </c>
      <c r="F286" t="s">
        <v>11</v>
      </c>
      <c r="G286">
        <v>9881</v>
      </c>
      <c r="H286">
        <v>561</v>
      </c>
      <c r="I286">
        <v>2.93</v>
      </c>
      <c r="J286">
        <v>90</v>
      </c>
      <c r="Q286">
        <f t="shared" si="254"/>
        <v>659200</v>
      </c>
    </row>
    <row r="287" spans="1:18" x14ac:dyDescent="0.25">
      <c r="A287" t="s">
        <v>731</v>
      </c>
      <c r="B287" t="s">
        <v>732</v>
      </c>
      <c r="C287" t="s">
        <v>2</v>
      </c>
      <c r="D287" t="s">
        <v>3</v>
      </c>
      <c r="E287" s="1">
        <v>45178</v>
      </c>
      <c r="F287" t="s">
        <v>5</v>
      </c>
      <c r="G287">
        <v>2709</v>
      </c>
      <c r="H287">
        <v>4201</v>
      </c>
      <c r="I287">
        <v>2.2599999999999998</v>
      </c>
      <c r="J287">
        <v>50</v>
      </c>
      <c r="K287">
        <f t="shared" ref="K287:K289" ca="1" si="271">IF(F287="Enrolled", TODAY()-E287, "")</f>
        <v>789</v>
      </c>
      <c r="M287">
        <f t="shared" ref="M287:M289" ca="1" si="272">IF(F287="Enrolled",TODAY() - E287,"")</f>
        <v>789</v>
      </c>
      <c r="N287" t="str">
        <f t="shared" ref="N287:N289" si="273">IF(I289&gt;=3.5,"Excellent",IF(I289&gt;=3,"Good",IF(I289&gt;=2,"Average","Poor")))</f>
        <v>Average</v>
      </c>
      <c r="O287" t="e">
        <f t="shared" ref="O287:O289" si="274">VLOOKUP(D287, $T$18:$U$23, 2, FALSE)</f>
        <v>#N/A</v>
      </c>
      <c r="P287" t="str">
        <f t="shared" ref="P287:P289" si="275">IF(H287 &gt; 0.5 * G287, "YES", "NO")</f>
        <v>YES</v>
      </c>
      <c r="Q287">
        <f t="shared" si="254"/>
        <v>659200</v>
      </c>
      <c r="R287" t="str">
        <f t="shared" ref="R287:R289" si="276">IF(MONTH(E281)&gt;=6, YEAR(E281) &amp; "-" &amp; YEAR(E281)+1, YEAR(E281)-1 &amp; "-" &amp; YEAR(E281))</f>
        <v>2023-2024</v>
      </c>
    </row>
    <row r="288" spans="1:18" x14ac:dyDescent="0.25">
      <c r="A288" t="s">
        <v>733</v>
      </c>
      <c r="B288" t="s">
        <v>734</v>
      </c>
      <c r="C288" t="s">
        <v>8</v>
      </c>
      <c r="D288" t="s">
        <v>25</v>
      </c>
      <c r="E288" t="s">
        <v>735</v>
      </c>
      <c r="F288" t="s">
        <v>5</v>
      </c>
      <c r="G288">
        <v>11935</v>
      </c>
      <c r="H288">
        <v>4832</v>
      </c>
      <c r="I288">
        <v>2.36</v>
      </c>
      <c r="J288">
        <v>31</v>
      </c>
      <c r="K288">
        <f t="shared" ca="1" si="271"/>
        <v>1387</v>
      </c>
      <c r="M288">
        <f t="shared" ca="1" si="272"/>
        <v>1387</v>
      </c>
      <c r="N288" t="str">
        <f t="shared" si="273"/>
        <v>Average</v>
      </c>
      <c r="O288" t="e">
        <f t="shared" si="274"/>
        <v>#N/A</v>
      </c>
      <c r="P288" t="str">
        <f t="shared" si="275"/>
        <v>NO</v>
      </c>
      <c r="Q288">
        <f t="shared" si="254"/>
        <v>659200</v>
      </c>
      <c r="R288" t="str">
        <f t="shared" si="276"/>
        <v>2023-2024</v>
      </c>
    </row>
    <row r="289" spans="1:18" x14ac:dyDescent="0.25">
      <c r="A289" t="s">
        <v>736</v>
      </c>
      <c r="B289" t="s">
        <v>737</v>
      </c>
      <c r="C289" t="s">
        <v>17</v>
      </c>
      <c r="D289" t="s">
        <v>25</v>
      </c>
      <c r="E289" s="1">
        <v>45541</v>
      </c>
      <c r="F289" t="s">
        <v>5</v>
      </c>
      <c r="G289">
        <v>11303</v>
      </c>
      <c r="H289">
        <v>4786</v>
      </c>
      <c r="I289">
        <v>2.72</v>
      </c>
      <c r="J289">
        <v>60</v>
      </c>
      <c r="K289">
        <f t="shared" ca="1" si="271"/>
        <v>426</v>
      </c>
      <c r="M289">
        <f t="shared" ca="1" si="272"/>
        <v>426</v>
      </c>
      <c r="N289" t="str">
        <f t="shared" si="273"/>
        <v>Average</v>
      </c>
      <c r="O289" t="e">
        <f t="shared" si="274"/>
        <v>#N/A</v>
      </c>
      <c r="P289" t="str">
        <f t="shared" si="275"/>
        <v>NO</v>
      </c>
      <c r="Q289">
        <f t="shared" si="254"/>
        <v>659200</v>
      </c>
      <c r="R289" t="str">
        <f t="shared" si="276"/>
        <v>2022-2023</v>
      </c>
    </row>
    <row r="290" spans="1:18" hidden="1" x14ac:dyDescent="0.25">
      <c r="A290" t="s">
        <v>738</v>
      </c>
      <c r="B290" t="s">
        <v>739</v>
      </c>
      <c r="C290" t="s">
        <v>58</v>
      </c>
      <c r="D290" t="s">
        <v>65</v>
      </c>
      <c r="E290" s="1">
        <v>44753</v>
      </c>
      <c r="F290" t="s">
        <v>11</v>
      </c>
      <c r="G290">
        <v>14396</v>
      </c>
      <c r="H290">
        <v>4065</v>
      </c>
      <c r="I290">
        <v>2.06</v>
      </c>
      <c r="J290">
        <v>34</v>
      </c>
      <c r="Q290">
        <f t="shared" si="254"/>
        <v>659200</v>
      </c>
    </row>
    <row r="291" spans="1:18" hidden="1" x14ac:dyDescent="0.25">
      <c r="A291" t="s">
        <v>740</v>
      </c>
      <c r="B291" t="s">
        <v>741</v>
      </c>
      <c r="C291" t="s">
        <v>32</v>
      </c>
      <c r="D291" t="s">
        <v>3</v>
      </c>
      <c r="E291" t="s">
        <v>742</v>
      </c>
      <c r="F291" t="s">
        <v>11</v>
      </c>
      <c r="G291">
        <v>7215</v>
      </c>
      <c r="H291">
        <v>260</v>
      </c>
      <c r="I291">
        <v>2.98</v>
      </c>
      <c r="J291">
        <v>47</v>
      </c>
      <c r="Q291">
        <f t="shared" si="254"/>
        <v>659200</v>
      </c>
    </row>
    <row r="292" spans="1:18" x14ac:dyDescent="0.25">
      <c r="A292" t="s">
        <v>743</v>
      </c>
      <c r="B292" t="s">
        <v>744</v>
      </c>
      <c r="C292" t="s">
        <v>58</v>
      </c>
      <c r="D292" t="s">
        <v>65</v>
      </c>
      <c r="E292" t="s">
        <v>745</v>
      </c>
      <c r="F292" t="s">
        <v>5</v>
      </c>
      <c r="G292">
        <v>5255</v>
      </c>
      <c r="H292">
        <v>6902</v>
      </c>
      <c r="I292">
        <v>3.64</v>
      </c>
      <c r="J292">
        <v>86</v>
      </c>
      <c r="K292">
        <f t="shared" ref="K292" ca="1" si="277">IF(F292="Enrolled", TODAY()-E292, "")</f>
        <v>1269</v>
      </c>
      <c r="M292">
        <f ca="1">IF(F292="Enrolled",TODAY() - E292,"")</f>
        <v>1269</v>
      </c>
      <c r="N292" t="str">
        <f>IF(I294&gt;=3.5,"Excellent",IF(I294&gt;=3,"Good",IF(I294&gt;=2,"Average","Poor")))</f>
        <v>Excellent</v>
      </c>
      <c r="O292" t="e">
        <f>VLOOKUP(D292, $T$18:$U$23, 2, FALSE)</f>
        <v>#N/A</v>
      </c>
      <c r="P292" t="str">
        <f t="shared" ref="P292" si="278">IF(H292 &gt; 0.5 * G292, "YES", "NO")</f>
        <v>YES</v>
      </c>
      <c r="Q292">
        <f t="shared" si="254"/>
        <v>659200</v>
      </c>
      <c r="R292" t="str">
        <f>IF(MONTH(E286)&gt;=6, YEAR(E286) &amp; "-" &amp; YEAR(E286)+1, YEAR(E286)-1 &amp; "-" &amp; YEAR(E286))</f>
        <v>2023-2024</v>
      </c>
    </row>
    <row r="293" spans="1:18" hidden="1" x14ac:dyDescent="0.25">
      <c r="A293" t="s">
        <v>746</v>
      </c>
      <c r="B293" t="s">
        <v>747</v>
      </c>
      <c r="C293" t="s">
        <v>55</v>
      </c>
      <c r="D293" t="s">
        <v>3</v>
      </c>
      <c r="E293" t="s">
        <v>544</v>
      </c>
      <c r="F293" t="s">
        <v>36</v>
      </c>
      <c r="G293">
        <v>9805</v>
      </c>
      <c r="H293">
        <v>1354</v>
      </c>
      <c r="I293">
        <v>3.9</v>
      </c>
      <c r="J293">
        <v>83</v>
      </c>
      <c r="Q293">
        <f t="shared" si="254"/>
        <v>659200</v>
      </c>
    </row>
    <row r="294" spans="1:18" hidden="1" x14ac:dyDescent="0.25">
      <c r="A294" t="s">
        <v>748</v>
      </c>
      <c r="B294" t="s">
        <v>749</v>
      </c>
      <c r="C294" t="s">
        <v>17</v>
      </c>
      <c r="D294" t="s">
        <v>9</v>
      </c>
      <c r="E294" s="1">
        <v>45108</v>
      </c>
      <c r="F294" t="s">
        <v>11</v>
      </c>
      <c r="G294">
        <v>4492</v>
      </c>
      <c r="H294">
        <v>9577</v>
      </c>
      <c r="I294">
        <v>3.78</v>
      </c>
      <c r="J294">
        <v>58</v>
      </c>
      <c r="Q294">
        <f t="shared" si="254"/>
        <v>659200</v>
      </c>
    </row>
    <row r="295" spans="1:18" x14ac:dyDescent="0.25">
      <c r="A295" t="s">
        <v>750</v>
      </c>
      <c r="B295" t="s">
        <v>751</v>
      </c>
      <c r="C295" t="s">
        <v>32</v>
      </c>
      <c r="D295" t="s">
        <v>65</v>
      </c>
      <c r="E295" s="1">
        <v>44839</v>
      </c>
      <c r="F295" t="s">
        <v>5</v>
      </c>
      <c r="G295">
        <v>14426</v>
      </c>
      <c r="H295">
        <v>9248</v>
      </c>
      <c r="I295">
        <v>2.79</v>
      </c>
      <c r="J295">
        <v>87</v>
      </c>
      <c r="K295">
        <f t="shared" ref="K295" ca="1" si="279">IF(F295="Enrolled", TODAY()-E295, "")</f>
        <v>1128</v>
      </c>
      <c r="M295">
        <f ca="1">IF(F295="Enrolled",TODAY() - E295,"")</f>
        <v>1128</v>
      </c>
      <c r="N295" t="str">
        <f>IF(I297&gt;=3.5,"Excellent",IF(I297&gt;=3,"Good",IF(I297&gt;=2,"Average","Poor")))</f>
        <v>Average</v>
      </c>
      <c r="O295" t="e">
        <f>VLOOKUP(D295, $T$18:$U$23, 2, FALSE)</f>
        <v>#N/A</v>
      </c>
      <c r="P295" t="str">
        <f t="shared" ref="P295" si="280">IF(H295 &gt; 0.5 * G295, "YES", "NO")</f>
        <v>YES</v>
      </c>
      <c r="Q295">
        <f t="shared" si="254"/>
        <v>654708</v>
      </c>
      <c r="R295" t="str">
        <f>IF(MONTH(E289)&gt;=6, YEAR(E289) &amp; "-" &amp; YEAR(E289)+1, YEAR(E289)-1 &amp; "-" &amp; YEAR(E289))</f>
        <v>2024-2025</v>
      </c>
    </row>
    <row r="296" spans="1:18" hidden="1" x14ac:dyDescent="0.25">
      <c r="A296" t="s">
        <v>752</v>
      </c>
      <c r="B296" t="s">
        <v>753</v>
      </c>
      <c r="C296" t="s">
        <v>58</v>
      </c>
      <c r="D296" t="s">
        <v>65</v>
      </c>
      <c r="E296" t="s">
        <v>754</v>
      </c>
      <c r="F296" t="s">
        <v>11</v>
      </c>
      <c r="G296">
        <v>5148</v>
      </c>
      <c r="H296">
        <v>2434</v>
      </c>
      <c r="I296">
        <v>3.96</v>
      </c>
      <c r="J296">
        <v>32</v>
      </c>
      <c r="Q296">
        <f t="shared" si="254"/>
        <v>654708</v>
      </c>
    </row>
    <row r="297" spans="1:18" x14ac:dyDescent="0.25">
      <c r="A297" t="s">
        <v>755</v>
      </c>
      <c r="B297" t="s">
        <v>756</v>
      </c>
      <c r="C297" t="s">
        <v>14</v>
      </c>
      <c r="D297" t="s">
        <v>9</v>
      </c>
      <c r="E297" s="1">
        <v>45210</v>
      </c>
      <c r="F297" t="s">
        <v>5</v>
      </c>
      <c r="G297">
        <v>11170</v>
      </c>
      <c r="H297">
        <v>7941</v>
      </c>
      <c r="I297">
        <v>2.06</v>
      </c>
      <c r="J297">
        <v>112</v>
      </c>
      <c r="K297">
        <f t="shared" ref="K297:K298" ca="1" si="281">IF(F297="Enrolled", TODAY()-E297, "")</f>
        <v>757</v>
      </c>
      <c r="M297">
        <f t="shared" ref="M297:M298" ca="1" si="282">IF(F297="Enrolled",TODAY() - E297,"")</f>
        <v>757</v>
      </c>
      <c r="N297" t="str">
        <f t="shared" ref="N297:N298" si="283">IF(I299&gt;=3.5,"Excellent",IF(I299&gt;=3,"Good",IF(I299&gt;=2,"Average","Poor")))</f>
        <v>Good</v>
      </c>
      <c r="O297" t="e">
        <f t="shared" ref="O297:O298" si="284">VLOOKUP(D297, $T$18:$U$23, 2, FALSE)</f>
        <v>#N/A</v>
      </c>
      <c r="P297" t="str">
        <f t="shared" ref="P297:P298" si="285">IF(H297 &gt; 0.5 * G297, "YES", "NO")</f>
        <v>YES</v>
      </c>
      <c r="Q297">
        <f t="shared" si="254"/>
        <v>654708</v>
      </c>
      <c r="R297" t="str">
        <f t="shared" ref="R297:R298" si="286">IF(MONTH(E291)&gt;=6, YEAR(E291) &amp; "-" &amp; YEAR(E291)+1, YEAR(E291)-1 &amp; "-" &amp; YEAR(E291))</f>
        <v>2022-2023</v>
      </c>
    </row>
    <row r="298" spans="1:18" x14ac:dyDescent="0.25">
      <c r="A298" t="s">
        <v>757</v>
      </c>
      <c r="B298" t="s">
        <v>758</v>
      </c>
      <c r="C298" t="s">
        <v>58</v>
      </c>
      <c r="D298" t="s">
        <v>65</v>
      </c>
      <c r="E298" t="s">
        <v>759</v>
      </c>
      <c r="F298" t="s">
        <v>5</v>
      </c>
      <c r="G298">
        <v>12190</v>
      </c>
      <c r="H298">
        <v>3721</v>
      </c>
      <c r="I298">
        <v>3.4</v>
      </c>
      <c r="J298">
        <v>5</v>
      </c>
      <c r="K298">
        <f t="shared" ca="1" si="281"/>
        <v>1202</v>
      </c>
      <c r="M298">
        <f t="shared" ca="1" si="282"/>
        <v>1202</v>
      </c>
      <c r="N298" t="str">
        <f t="shared" si="283"/>
        <v>Average</v>
      </c>
      <c r="O298" t="e">
        <f t="shared" si="284"/>
        <v>#N/A</v>
      </c>
      <c r="P298" t="str">
        <f t="shared" si="285"/>
        <v>NO</v>
      </c>
      <c r="Q298">
        <f t="shared" si="254"/>
        <v>654708</v>
      </c>
      <c r="R298" t="str">
        <f t="shared" si="286"/>
        <v>2021-2022</v>
      </c>
    </row>
    <row r="299" spans="1:18" hidden="1" x14ac:dyDescent="0.25">
      <c r="A299" t="s">
        <v>760</v>
      </c>
      <c r="B299" t="s">
        <v>761</v>
      </c>
      <c r="C299" t="s">
        <v>21</v>
      </c>
      <c r="D299" t="s">
        <v>65</v>
      </c>
      <c r="E299" s="1">
        <v>44722</v>
      </c>
      <c r="F299" t="s">
        <v>11</v>
      </c>
      <c r="G299">
        <v>11788</v>
      </c>
      <c r="H299">
        <v>6411</v>
      </c>
      <c r="I299">
        <v>3.18</v>
      </c>
      <c r="J299">
        <v>23</v>
      </c>
      <c r="Q299">
        <f t="shared" si="254"/>
        <v>654708</v>
      </c>
    </row>
    <row r="300" spans="1:18" x14ac:dyDescent="0.25">
      <c r="A300" t="s">
        <v>762</v>
      </c>
      <c r="B300" t="s">
        <v>763</v>
      </c>
      <c r="C300" t="s">
        <v>58</v>
      </c>
      <c r="D300" t="s">
        <v>65</v>
      </c>
      <c r="E300" t="s">
        <v>654</v>
      </c>
      <c r="F300" t="s">
        <v>5</v>
      </c>
      <c r="G300">
        <v>7884</v>
      </c>
      <c r="H300">
        <v>6454</v>
      </c>
      <c r="I300">
        <v>2.1</v>
      </c>
      <c r="J300">
        <v>40</v>
      </c>
      <c r="K300">
        <f t="shared" ref="K300" ca="1" si="287">IF(F300="Enrolled", TODAY()-E300, "")</f>
        <v>627</v>
      </c>
      <c r="M300">
        <f ca="1">IF(F300="Enrolled",TODAY() - E300,"")</f>
        <v>627</v>
      </c>
      <c r="N300" t="str">
        <f>IF(I302&gt;=3.5,"Excellent",IF(I302&gt;=3,"Good",IF(I302&gt;=2,"Average","Poor")))</f>
        <v>Average</v>
      </c>
      <c r="O300" t="e">
        <f>VLOOKUP(D300, $T$18:$U$23, 2, FALSE)</f>
        <v>#N/A</v>
      </c>
      <c r="P300" t="str">
        <f t="shared" ref="P300" si="288">IF(H300 &gt; 0.5 * G300, "YES", "NO")</f>
        <v>YES</v>
      </c>
      <c r="Q300">
        <f t="shared" si="254"/>
        <v>654708</v>
      </c>
      <c r="R300" t="str">
        <f>IF(MONTH(E294)&gt;=6, YEAR(E294) &amp; "-" &amp; YEAR(E294)+1, YEAR(E294)-1 &amp; "-" &amp; YEAR(E294))</f>
        <v>2023-2024</v>
      </c>
    </row>
    <row r="301" spans="1:18" hidden="1" x14ac:dyDescent="0.25">
      <c r="A301" t="s">
        <v>764</v>
      </c>
      <c r="B301" t="s">
        <v>765</v>
      </c>
      <c r="C301" t="s">
        <v>14</v>
      </c>
      <c r="D301" t="s">
        <v>25</v>
      </c>
      <c r="E301" t="s">
        <v>766</v>
      </c>
      <c r="F301" t="s">
        <v>11</v>
      </c>
      <c r="G301">
        <v>3515</v>
      </c>
      <c r="H301">
        <v>4798</v>
      </c>
      <c r="I301">
        <v>2.41</v>
      </c>
      <c r="J301">
        <v>115</v>
      </c>
      <c r="Q301">
        <f t="shared" si="254"/>
        <v>654708</v>
      </c>
    </row>
    <row r="302" spans="1:18" hidden="1" x14ac:dyDescent="0.25">
      <c r="A302" t="s">
        <v>767</v>
      </c>
      <c r="B302" t="s">
        <v>768</v>
      </c>
      <c r="C302" t="s">
        <v>58</v>
      </c>
      <c r="D302" t="s">
        <v>65</v>
      </c>
      <c r="E302" t="s">
        <v>68</v>
      </c>
      <c r="F302" t="s">
        <v>11</v>
      </c>
      <c r="G302">
        <v>11803</v>
      </c>
      <c r="H302">
        <v>6022</v>
      </c>
      <c r="I302">
        <v>2.94</v>
      </c>
      <c r="J302">
        <v>116</v>
      </c>
      <c r="Q302">
        <f t="shared" si="254"/>
        <v>654708</v>
      </c>
    </row>
    <row r="303" spans="1:18" x14ac:dyDescent="0.25">
      <c r="A303" t="s">
        <v>769</v>
      </c>
      <c r="B303" t="s">
        <v>770</v>
      </c>
      <c r="C303" t="s">
        <v>14</v>
      </c>
      <c r="D303" t="s">
        <v>3</v>
      </c>
      <c r="E303" s="1">
        <v>44839</v>
      </c>
      <c r="F303" t="s">
        <v>5</v>
      </c>
      <c r="G303">
        <v>5515</v>
      </c>
      <c r="H303">
        <v>5467</v>
      </c>
      <c r="I303">
        <v>3.85</v>
      </c>
      <c r="J303">
        <v>65</v>
      </c>
      <c r="K303">
        <f t="shared" ref="K303:K306" ca="1" si="289">IF(F303="Enrolled", TODAY()-E303, "")</f>
        <v>1128</v>
      </c>
      <c r="M303">
        <f t="shared" ref="M303:M306" ca="1" si="290">IF(F303="Enrolled",TODAY() - E303,"")</f>
        <v>1128</v>
      </c>
      <c r="N303" t="str">
        <f t="shared" ref="N303:N306" si="291">IF(I305&gt;=3.5,"Excellent",IF(I305&gt;=3,"Good",IF(I305&gt;=2,"Average","Poor")))</f>
        <v>Excellent</v>
      </c>
      <c r="O303" t="e">
        <f t="shared" ref="O303:O306" si="292">VLOOKUP(D303, $T$18:$U$23, 2, FALSE)</f>
        <v>#N/A</v>
      </c>
      <c r="P303" t="str">
        <f t="shared" ref="P303:P306" si="293">IF(H303 &gt; 0.5 * G303, "YES", "NO")</f>
        <v>YES</v>
      </c>
      <c r="Q303">
        <f t="shared" si="254"/>
        <v>654708</v>
      </c>
      <c r="R303" t="str">
        <f t="shared" ref="R303:R306" si="294">IF(MONTH(E297)&gt;=6, YEAR(E297) &amp; "-" &amp; YEAR(E297)+1, YEAR(E297)-1 &amp; "-" &amp; YEAR(E297))</f>
        <v>2023-2024</v>
      </c>
    </row>
    <row r="304" spans="1:18" x14ac:dyDescent="0.25">
      <c r="A304" t="s">
        <v>771</v>
      </c>
      <c r="B304" t="s">
        <v>772</v>
      </c>
      <c r="C304" t="s">
        <v>17</v>
      </c>
      <c r="D304" t="s">
        <v>65</v>
      </c>
      <c r="E304" s="1">
        <v>44782</v>
      </c>
      <c r="F304" t="s">
        <v>5</v>
      </c>
      <c r="G304">
        <v>12810</v>
      </c>
      <c r="H304">
        <v>9194</v>
      </c>
      <c r="I304">
        <v>3.95</v>
      </c>
      <c r="J304">
        <v>58</v>
      </c>
      <c r="K304">
        <f t="shared" ca="1" si="289"/>
        <v>1185</v>
      </c>
      <c r="M304">
        <f t="shared" ca="1" si="290"/>
        <v>1185</v>
      </c>
      <c r="N304" t="str">
        <f t="shared" si="291"/>
        <v>Good</v>
      </c>
      <c r="O304" t="e">
        <f t="shared" si="292"/>
        <v>#N/A</v>
      </c>
      <c r="P304" t="str">
        <f t="shared" si="293"/>
        <v>YES</v>
      </c>
      <c r="Q304">
        <f t="shared" si="254"/>
        <v>654708</v>
      </c>
      <c r="R304" t="str">
        <f t="shared" si="294"/>
        <v>2022-2023</v>
      </c>
    </row>
    <row r="305" spans="1:18" x14ac:dyDescent="0.25">
      <c r="A305" t="s">
        <v>773</v>
      </c>
      <c r="B305" t="s">
        <v>774</v>
      </c>
      <c r="C305" t="s">
        <v>17</v>
      </c>
      <c r="D305" t="s">
        <v>25</v>
      </c>
      <c r="E305" s="1">
        <v>44691</v>
      </c>
      <c r="F305" t="s">
        <v>5</v>
      </c>
      <c r="G305">
        <v>4155</v>
      </c>
      <c r="H305">
        <v>4450</v>
      </c>
      <c r="I305">
        <v>3.64</v>
      </c>
      <c r="J305">
        <v>25</v>
      </c>
      <c r="K305">
        <f t="shared" ca="1" si="289"/>
        <v>1276</v>
      </c>
      <c r="M305">
        <f t="shared" ca="1" si="290"/>
        <v>1276</v>
      </c>
      <c r="N305" t="str">
        <f t="shared" si="291"/>
        <v>Average</v>
      </c>
      <c r="O305" t="e">
        <f t="shared" si="292"/>
        <v>#N/A</v>
      </c>
      <c r="P305" t="str">
        <f t="shared" si="293"/>
        <v>YES</v>
      </c>
      <c r="Q305">
        <f t="shared" si="254"/>
        <v>654708</v>
      </c>
      <c r="R305" t="str">
        <f t="shared" si="294"/>
        <v>2022-2023</v>
      </c>
    </row>
    <row r="306" spans="1:18" x14ac:dyDescent="0.25">
      <c r="A306" t="s">
        <v>775</v>
      </c>
      <c r="B306" t="s">
        <v>776</v>
      </c>
      <c r="C306" t="s">
        <v>8</v>
      </c>
      <c r="D306" t="s">
        <v>65</v>
      </c>
      <c r="E306" t="s">
        <v>777</v>
      </c>
      <c r="F306" t="s">
        <v>5</v>
      </c>
      <c r="G306">
        <v>7723</v>
      </c>
      <c r="H306">
        <v>368</v>
      </c>
      <c r="I306">
        <v>3.09</v>
      </c>
      <c r="J306">
        <v>23</v>
      </c>
      <c r="K306">
        <f t="shared" ca="1" si="289"/>
        <v>595</v>
      </c>
      <c r="M306">
        <f t="shared" ca="1" si="290"/>
        <v>595</v>
      </c>
      <c r="N306" t="str">
        <f t="shared" si="291"/>
        <v>Excellent</v>
      </c>
      <c r="O306" t="e">
        <f t="shared" si="292"/>
        <v>#N/A</v>
      </c>
      <c r="P306" t="str">
        <f t="shared" si="293"/>
        <v>NO</v>
      </c>
      <c r="Q306">
        <f t="shared" si="254"/>
        <v>654708</v>
      </c>
      <c r="R306" t="str">
        <f t="shared" si="294"/>
        <v>2023-2024</v>
      </c>
    </row>
    <row r="307" spans="1:18" hidden="1" x14ac:dyDescent="0.25">
      <c r="A307" t="s">
        <v>778</v>
      </c>
      <c r="B307" t="s">
        <v>779</v>
      </c>
      <c r="C307" t="s">
        <v>32</v>
      </c>
      <c r="D307" t="s">
        <v>9</v>
      </c>
      <c r="E307" t="s">
        <v>117</v>
      </c>
      <c r="F307" t="s">
        <v>11</v>
      </c>
      <c r="G307">
        <v>6777</v>
      </c>
      <c r="H307">
        <v>7534</v>
      </c>
      <c r="I307">
        <v>2.29</v>
      </c>
      <c r="J307">
        <v>47</v>
      </c>
      <c r="Q307">
        <f t="shared" si="254"/>
        <v>654708</v>
      </c>
    </row>
    <row r="308" spans="1:18" hidden="1" x14ac:dyDescent="0.25">
      <c r="A308" t="s">
        <v>780</v>
      </c>
      <c r="B308" t="s">
        <v>781</v>
      </c>
      <c r="C308" t="s">
        <v>2</v>
      </c>
      <c r="D308" t="s">
        <v>3</v>
      </c>
      <c r="E308" t="s">
        <v>782</v>
      </c>
      <c r="F308" t="s">
        <v>11</v>
      </c>
      <c r="G308">
        <v>8267</v>
      </c>
      <c r="H308">
        <v>1717</v>
      </c>
      <c r="I308">
        <v>3.92</v>
      </c>
      <c r="J308">
        <v>56</v>
      </c>
      <c r="Q308">
        <f t="shared" si="254"/>
        <v>647931</v>
      </c>
    </row>
    <row r="309" spans="1:18" x14ac:dyDescent="0.25">
      <c r="A309" t="s">
        <v>783</v>
      </c>
      <c r="B309" t="s">
        <v>784</v>
      </c>
      <c r="C309" t="s">
        <v>2</v>
      </c>
      <c r="D309" t="s">
        <v>65</v>
      </c>
      <c r="E309" t="s">
        <v>785</v>
      </c>
      <c r="F309" t="s">
        <v>5</v>
      </c>
      <c r="G309">
        <v>9602</v>
      </c>
      <c r="H309">
        <v>3213</v>
      </c>
      <c r="I309">
        <v>3.51</v>
      </c>
      <c r="J309">
        <v>103</v>
      </c>
      <c r="K309">
        <f t="shared" ref="K309:K311" ca="1" si="295">IF(F309="Enrolled", TODAY()-E309, "")</f>
        <v>1027</v>
      </c>
      <c r="M309">
        <f t="shared" ref="M309:M311" ca="1" si="296">IF(F309="Enrolled",TODAY() - E309,"")</f>
        <v>1027</v>
      </c>
      <c r="N309" t="str">
        <f t="shared" ref="N309:N311" si="297">IF(I311&gt;=3.5,"Excellent",IF(I311&gt;=3,"Good",IF(I311&gt;=2,"Average","Poor")))</f>
        <v>Average</v>
      </c>
      <c r="O309" t="e">
        <f t="shared" ref="O309:O311" si="298">VLOOKUP(D309, $T$18:$U$23, 2, FALSE)</f>
        <v>#N/A</v>
      </c>
      <c r="P309" t="str">
        <f t="shared" ref="P309:P311" si="299">IF(H309 &gt; 0.5 * G309, "YES", "NO")</f>
        <v>NO</v>
      </c>
      <c r="Q309">
        <f t="shared" si="254"/>
        <v>647931</v>
      </c>
      <c r="R309" t="str">
        <f t="shared" ref="R309:R311" si="300">IF(MONTH(E303)&gt;=6, YEAR(E303) &amp; "-" &amp; YEAR(E303)+1, YEAR(E303)-1 &amp; "-" &amp; YEAR(E303))</f>
        <v>2022-2023</v>
      </c>
    </row>
    <row r="310" spans="1:18" x14ac:dyDescent="0.25">
      <c r="A310" t="s">
        <v>786</v>
      </c>
      <c r="B310" t="s">
        <v>787</v>
      </c>
      <c r="C310" t="s">
        <v>14</v>
      </c>
      <c r="D310" t="s">
        <v>25</v>
      </c>
      <c r="E310" s="1">
        <v>44930</v>
      </c>
      <c r="F310" t="s">
        <v>5</v>
      </c>
      <c r="G310">
        <v>7771</v>
      </c>
      <c r="H310">
        <v>7737</v>
      </c>
      <c r="I310">
        <v>3.5</v>
      </c>
      <c r="J310">
        <v>44</v>
      </c>
      <c r="K310">
        <f t="shared" ca="1" si="295"/>
        <v>1037</v>
      </c>
      <c r="M310">
        <f t="shared" ca="1" si="296"/>
        <v>1037</v>
      </c>
      <c r="N310" t="str">
        <f t="shared" si="297"/>
        <v>Good</v>
      </c>
      <c r="O310" t="e">
        <f t="shared" si="298"/>
        <v>#N/A</v>
      </c>
      <c r="P310" t="str">
        <f t="shared" si="299"/>
        <v>YES</v>
      </c>
      <c r="Q310">
        <f t="shared" si="254"/>
        <v>647931</v>
      </c>
      <c r="R310" t="str">
        <f t="shared" si="300"/>
        <v>2022-2023</v>
      </c>
    </row>
    <row r="311" spans="1:18" x14ac:dyDescent="0.25">
      <c r="A311" t="s">
        <v>788</v>
      </c>
      <c r="B311" t="s">
        <v>789</v>
      </c>
      <c r="C311" t="s">
        <v>55</v>
      </c>
      <c r="D311" t="s">
        <v>65</v>
      </c>
      <c r="E311" t="s">
        <v>790</v>
      </c>
      <c r="F311" t="s">
        <v>5</v>
      </c>
      <c r="G311">
        <v>6051</v>
      </c>
      <c r="H311">
        <v>2238</v>
      </c>
      <c r="I311">
        <v>2.88</v>
      </c>
      <c r="J311">
        <v>73</v>
      </c>
      <c r="K311">
        <f t="shared" ca="1" si="295"/>
        <v>1239</v>
      </c>
      <c r="M311">
        <f t="shared" ca="1" si="296"/>
        <v>1239</v>
      </c>
      <c r="N311" t="str">
        <f t="shared" si="297"/>
        <v>Average</v>
      </c>
      <c r="O311" t="e">
        <f t="shared" si="298"/>
        <v>#N/A</v>
      </c>
      <c r="P311" t="str">
        <f t="shared" si="299"/>
        <v>NO</v>
      </c>
      <c r="Q311">
        <f t="shared" si="254"/>
        <v>647931</v>
      </c>
      <c r="R311" t="str">
        <f t="shared" si="300"/>
        <v>2021-2022</v>
      </c>
    </row>
    <row r="312" spans="1:18" hidden="1" x14ac:dyDescent="0.25">
      <c r="A312" t="s">
        <v>791</v>
      </c>
      <c r="B312" t="s">
        <v>792</v>
      </c>
      <c r="C312" t="s">
        <v>14</v>
      </c>
      <c r="D312" t="s">
        <v>25</v>
      </c>
      <c r="E312" t="s">
        <v>793</v>
      </c>
      <c r="F312" t="s">
        <v>11</v>
      </c>
      <c r="G312">
        <v>10432</v>
      </c>
      <c r="H312">
        <v>3942</v>
      </c>
      <c r="I312">
        <v>3.19</v>
      </c>
      <c r="J312">
        <v>34</v>
      </c>
      <c r="Q312">
        <f t="shared" si="254"/>
        <v>647931</v>
      </c>
    </row>
    <row r="313" spans="1:18" hidden="1" x14ac:dyDescent="0.25">
      <c r="A313" t="s">
        <v>794</v>
      </c>
      <c r="B313" t="s">
        <v>795</v>
      </c>
      <c r="C313" t="s">
        <v>58</v>
      </c>
      <c r="D313" t="s">
        <v>9</v>
      </c>
      <c r="E313" s="1">
        <v>44685</v>
      </c>
      <c r="F313" t="s">
        <v>11</v>
      </c>
      <c r="G313">
        <v>13615</v>
      </c>
      <c r="H313">
        <v>6143</v>
      </c>
      <c r="I313">
        <v>2.2999999999999998</v>
      </c>
      <c r="J313">
        <v>26</v>
      </c>
      <c r="Q313">
        <f t="shared" si="254"/>
        <v>647931</v>
      </c>
    </row>
    <row r="314" spans="1:18" x14ac:dyDescent="0.25">
      <c r="A314" t="s">
        <v>796</v>
      </c>
      <c r="B314" t="s">
        <v>797</v>
      </c>
      <c r="C314" t="s">
        <v>21</v>
      </c>
      <c r="D314" t="s">
        <v>9</v>
      </c>
      <c r="E314" t="s">
        <v>381</v>
      </c>
      <c r="F314" t="s">
        <v>5</v>
      </c>
      <c r="G314">
        <v>11152</v>
      </c>
      <c r="H314">
        <v>4980</v>
      </c>
      <c r="I314">
        <v>2.37</v>
      </c>
      <c r="J314">
        <v>27</v>
      </c>
      <c r="K314">
        <f t="shared" ref="K314:K316" ca="1" si="301">IF(F314="Enrolled", TODAY()-E314, "")</f>
        <v>1388</v>
      </c>
      <c r="M314">
        <f t="shared" ref="M314:M316" ca="1" si="302">IF(F314="Enrolled",TODAY() - E314,"")</f>
        <v>1388</v>
      </c>
      <c r="N314" t="str">
        <f t="shared" ref="N314:N316" si="303">IF(I316&gt;=3.5,"Excellent",IF(I316&gt;=3,"Good",IF(I316&gt;=2,"Average","Poor")))</f>
        <v>Good</v>
      </c>
      <c r="O314" t="e">
        <f t="shared" ref="O314:O316" si="304">VLOOKUP(D314, $T$18:$U$23, 2, FALSE)</f>
        <v>#N/A</v>
      </c>
      <c r="P314" t="str">
        <f t="shared" ref="P314:P316" si="305">IF(H314 &gt; 0.5 * G314, "YES", "NO")</f>
        <v>NO</v>
      </c>
      <c r="Q314">
        <f t="shared" si="254"/>
        <v>634316</v>
      </c>
      <c r="R314" t="str">
        <f t="shared" ref="R314:R316" si="306">IF(MONTH(E308)&gt;=6, YEAR(E308) &amp; "-" &amp; YEAR(E308)+1, YEAR(E308)-1 &amp; "-" &amp; YEAR(E308))</f>
        <v>2021-2022</v>
      </c>
    </row>
    <row r="315" spans="1:18" x14ac:dyDescent="0.25">
      <c r="A315" t="s">
        <v>798</v>
      </c>
      <c r="B315" t="s">
        <v>799</v>
      </c>
      <c r="C315" t="s">
        <v>55</v>
      </c>
      <c r="D315" t="s">
        <v>25</v>
      </c>
      <c r="E315" s="1">
        <v>45445</v>
      </c>
      <c r="F315" t="s">
        <v>5</v>
      </c>
      <c r="G315">
        <v>6901</v>
      </c>
      <c r="H315">
        <v>9266</v>
      </c>
      <c r="I315">
        <v>2.88</v>
      </c>
      <c r="J315">
        <v>83</v>
      </c>
      <c r="K315">
        <f t="shared" ca="1" si="301"/>
        <v>522</v>
      </c>
      <c r="M315">
        <f t="shared" ca="1" si="302"/>
        <v>522</v>
      </c>
      <c r="N315" t="str">
        <f t="shared" si="303"/>
        <v>Excellent</v>
      </c>
      <c r="O315" t="e">
        <f t="shared" si="304"/>
        <v>#N/A</v>
      </c>
      <c r="P315" t="str">
        <f t="shared" si="305"/>
        <v>YES</v>
      </c>
      <c r="Q315">
        <f t="shared" si="254"/>
        <v>634316</v>
      </c>
      <c r="R315" t="str">
        <f t="shared" si="306"/>
        <v>2022-2023</v>
      </c>
    </row>
    <row r="316" spans="1:18" x14ac:dyDescent="0.25">
      <c r="A316" t="s">
        <v>800</v>
      </c>
      <c r="B316" t="s">
        <v>801</v>
      </c>
      <c r="C316" t="s">
        <v>2</v>
      </c>
      <c r="D316" t="s">
        <v>3</v>
      </c>
      <c r="E316" t="s">
        <v>534</v>
      </c>
      <c r="F316" t="s">
        <v>5</v>
      </c>
      <c r="G316">
        <v>8130</v>
      </c>
      <c r="H316">
        <v>906</v>
      </c>
      <c r="I316">
        <v>3.34</v>
      </c>
      <c r="J316">
        <v>13</v>
      </c>
      <c r="K316">
        <f t="shared" ca="1" si="301"/>
        <v>1237</v>
      </c>
      <c r="M316">
        <f t="shared" ca="1" si="302"/>
        <v>1237</v>
      </c>
      <c r="N316" t="str">
        <f t="shared" si="303"/>
        <v>Average</v>
      </c>
      <c r="O316" t="e">
        <f t="shared" si="304"/>
        <v>#N/A</v>
      </c>
      <c r="P316" t="str">
        <f t="shared" si="305"/>
        <v>NO</v>
      </c>
      <c r="Q316">
        <f t="shared" si="254"/>
        <v>634316</v>
      </c>
      <c r="R316" t="str">
        <f t="shared" si="306"/>
        <v>2022-2023</v>
      </c>
    </row>
    <row r="317" spans="1:18" hidden="1" x14ac:dyDescent="0.25">
      <c r="A317" t="s">
        <v>802</v>
      </c>
      <c r="B317" t="s">
        <v>803</v>
      </c>
      <c r="C317" t="s">
        <v>14</v>
      </c>
      <c r="D317" t="s">
        <v>3</v>
      </c>
      <c r="E317" s="1">
        <v>45139</v>
      </c>
      <c r="F317" t="s">
        <v>11</v>
      </c>
      <c r="G317">
        <v>3221</v>
      </c>
      <c r="H317">
        <v>8857</v>
      </c>
      <c r="I317">
        <v>3.67</v>
      </c>
      <c r="J317">
        <v>48</v>
      </c>
      <c r="Q317">
        <f t="shared" si="254"/>
        <v>634316</v>
      </c>
    </row>
    <row r="318" spans="1:18" hidden="1" x14ac:dyDescent="0.25">
      <c r="A318" t="s">
        <v>804</v>
      </c>
      <c r="B318" t="s">
        <v>805</v>
      </c>
      <c r="C318" t="s">
        <v>8</v>
      </c>
      <c r="D318" t="s">
        <v>65</v>
      </c>
      <c r="E318" s="1">
        <v>44721</v>
      </c>
      <c r="F318" t="s">
        <v>11</v>
      </c>
      <c r="G318">
        <v>14917</v>
      </c>
      <c r="H318">
        <v>1441</v>
      </c>
      <c r="I318">
        <v>2.77</v>
      </c>
      <c r="J318">
        <v>23</v>
      </c>
      <c r="Q318">
        <f t="shared" si="254"/>
        <v>634316</v>
      </c>
    </row>
    <row r="319" spans="1:18" x14ac:dyDescent="0.25">
      <c r="A319" t="s">
        <v>806</v>
      </c>
      <c r="B319" t="s">
        <v>807</v>
      </c>
      <c r="C319" t="s">
        <v>32</v>
      </c>
      <c r="D319" t="s">
        <v>65</v>
      </c>
      <c r="E319" t="s">
        <v>152</v>
      </c>
      <c r="F319" t="s">
        <v>5</v>
      </c>
      <c r="G319">
        <v>12168</v>
      </c>
      <c r="H319">
        <v>2071</v>
      </c>
      <c r="I319">
        <v>2.75</v>
      </c>
      <c r="J319">
        <v>24</v>
      </c>
      <c r="K319">
        <f t="shared" ref="K319" ca="1" si="307">IF(F319="Enrolled", TODAY()-E319, "")</f>
        <v>1074</v>
      </c>
      <c r="M319">
        <f ca="1">IF(F319="Enrolled",TODAY() - E319,"")</f>
        <v>1074</v>
      </c>
      <c r="N319" t="str">
        <f>IF(I321&gt;=3.5,"Excellent",IF(I321&gt;=3,"Good",IF(I321&gt;=2,"Average","Poor")))</f>
        <v>Average</v>
      </c>
      <c r="O319" t="e">
        <f>VLOOKUP(D319, $T$18:$U$23, 2, FALSE)</f>
        <v>#N/A</v>
      </c>
      <c r="P319" t="str">
        <f t="shared" ref="P319" si="308">IF(H319 &gt; 0.5 * G319, "YES", "NO")</f>
        <v>NO</v>
      </c>
      <c r="Q319">
        <f t="shared" si="254"/>
        <v>634316</v>
      </c>
      <c r="R319" t="str">
        <f>IF(MONTH(E313)&gt;=6, YEAR(E313) &amp; "-" &amp; YEAR(E313)+1, YEAR(E313)-1 &amp; "-" &amp; YEAR(E313))</f>
        <v>2021-2022</v>
      </c>
    </row>
    <row r="320" spans="1:18" hidden="1" x14ac:dyDescent="0.25">
      <c r="A320" t="s">
        <v>808</v>
      </c>
      <c r="B320" t="s">
        <v>809</v>
      </c>
      <c r="C320" t="s">
        <v>55</v>
      </c>
      <c r="D320" t="s">
        <v>25</v>
      </c>
      <c r="E320" t="s">
        <v>649</v>
      </c>
      <c r="F320" t="s">
        <v>11</v>
      </c>
      <c r="G320">
        <v>10039</v>
      </c>
      <c r="H320">
        <v>458</v>
      </c>
      <c r="I320">
        <v>3.26</v>
      </c>
      <c r="J320">
        <v>63</v>
      </c>
      <c r="Q320">
        <f t="shared" si="254"/>
        <v>634316</v>
      </c>
    </row>
    <row r="321" spans="1:18" x14ac:dyDescent="0.25">
      <c r="A321" t="s">
        <v>810</v>
      </c>
      <c r="B321" t="s">
        <v>811</v>
      </c>
      <c r="C321" t="s">
        <v>55</v>
      </c>
      <c r="D321" t="s">
        <v>65</v>
      </c>
      <c r="E321" s="1">
        <v>44806</v>
      </c>
      <c r="F321" t="s">
        <v>5</v>
      </c>
      <c r="G321">
        <v>3870</v>
      </c>
      <c r="H321">
        <v>3731</v>
      </c>
      <c r="I321">
        <v>2.08</v>
      </c>
      <c r="J321">
        <v>65</v>
      </c>
      <c r="K321">
        <f t="shared" ref="K321" ca="1" si="309">IF(F321="Enrolled", TODAY()-E321, "")</f>
        <v>1161</v>
      </c>
      <c r="M321">
        <f ca="1">IF(F321="Enrolled",TODAY() - E321,"")</f>
        <v>1161</v>
      </c>
      <c r="N321" t="str">
        <f>IF(I323&gt;=3.5,"Excellent",IF(I323&gt;=3,"Good",IF(I323&gt;=2,"Average","Poor")))</f>
        <v>Average</v>
      </c>
      <c r="O321" t="e">
        <f>VLOOKUP(D321, $T$18:$U$23, 2, FALSE)</f>
        <v>#N/A</v>
      </c>
      <c r="P321" t="str">
        <f t="shared" ref="P321" si="310">IF(H321 &gt; 0.5 * G321, "YES", "NO")</f>
        <v>YES</v>
      </c>
      <c r="Q321">
        <f t="shared" si="254"/>
        <v>634316</v>
      </c>
      <c r="R321" t="str">
        <f>IF(MONTH(E315)&gt;=6, YEAR(E315) &amp; "-" &amp; YEAR(E315)+1, YEAR(E315)-1 &amp; "-" &amp; YEAR(E315))</f>
        <v>2024-2025</v>
      </c>
    </row>
    <row r="322" spans="1:18" hidden="1" x14ac:dyDescent="0.25">
      <c r="A322" t="s">
        <v>812</v>
      </c>
      <c r="B322" t="s">
        <v>813</v>
      </c>
      <c r="C322" t="s">
        <v>32</v>
      </c>
      <c r="D322" t="s">
        <v>65</v>
      </c>
      <c r="E322" s="1">
        <v>44906</v>
      </c>
      <c r="F322" t="s">
        <v>11</v>
      </c>
      <c r="G322">
        <v>5914</v>
      </c>
      <c r="H322">
        <v>3962</v>
      </c>
      <c r="I322">
        <v>2.11</v>
      </c>
      <c r="J322">
        <v>71</v>
      </c>
      <c r="Q322">
        <f t="shared" si="254"/>
        <v>634316</v>
      </c>
    </row>
    <row r="323" spans="1:18" x14ac:dyDescent="0.25">
      <c r="A323" t="s">
        <v>814</v>
      </c>
      <c r="B323" t="s">
        <v>815</v>
      </c>
      <c r="C323" t="s">
        <v>8</v>
      </c>
      <c r="D323" t="s">
        <v>65</v>
      </c>
      <c r="E323" s="1">
        <v>45297</v>
      </c>
      <c r="F323" t="s">
        <v>5</v>
      </c>
      <c r="G323">
        <v>2084</v>
      </c>
      <c r="H323">
        <v>5468</v>
      </c>
      <c r="I323">
        <v>2.79</v>
      </c>
      <c r="J323">
        <v>46</v>
      </c>
      <c r="K323">
        <f t="shared" ref="K323:K324" ca="1" si="311">IF(F323="Enrolled", TODAY()-E323, "")</f>
        <v>670</v>
      </c>
      <c r="M323">
        <f t="shared" ref="M323:M324" ca="1" si="312">IF(F323="Enrolled",TODAY() - E323,"")</f>
        <v>670</v>
      </c>
      <c r="N323" t="str">
        <f t="shared" ref="N323:N324" si="313">IF(I325&gt;=3.5,"Excellent",IF(I325&gt;=3,"Good",IF(I325&gt;=2,"Average","Poor")))</f>
        <v>Excellent</v>
      </c>
      <c r="O323" t="e">
        <f t="shared" ref="O323:O324" si="314">VLOOKUP(D323, $T$18:$U$23, 2, FALSE)</f>
        <v>#N/A</v>
      </c>
      <c r="P323" t="str">
        <f t="shared" ref="P323:P324" si="315">IF(H323 &gt; 0.5 * G323, "YES", "NO")</f>
        <v>YES</v>
      </c>
      <c r="Q323">
        <f t="shared" si="254"/>
        <v>634316</v>
      </c>
      <c r="R323" t="str">
        <f t="shared" ref="R323:R324" si="316">IF(MONTH(E317)&gt;=6, YEAR(E317) &amp; "-" &amp; YEAR(E317)+1, YEAR(E317)-1 &amp; "-" &amp; YEAR(E317))</f>
        <v>2023-2024</v>
      </c>
    </row>
    <row r="324" spans="1:18" x14ac:dyDescent="0.25">
      <c r="A324" t="s">
        <v>816</v>
      </c>
      <c r="B324" t="s">
        <v>817</v>
      </c>
      <c r="C324" t="s">
        <v>2</v>
      </c>
      <c r="D324" t="s">
        <v>65</v>
      </c>
      <c r="E324" t="s">
        <v>818</v>
      </c>
      <c r="F324" t="s">
        <v>5</v>
      </c>
      <c r="G324">
        <v>9739</v>
      </c>
      <c r="H324">
        <v>3558</v>
      </c>
      <c r="I324">
        <v>3.14</v>
      </c>
      <c r="J324">
        <v>50</v>
      </c>
      <c r="K324">
        <f t="shared" ca="1" si="311"/>
        <v>1351</v>
      </c>
      <c r="M324">
        <f t="shared" ca="1" si="312"/>
        <v>1351</v>
      </c>
      <c r="N324" t="str">
        <f t="shared" si="313"/>
        <v>Excellent</v>
      </c>
      <c r="O324" t="e">
        <f t="shared" si="314"/>
        <v>#N/A</v>
      </c>
      <c r="P324" t="str">
        <f t="shared" si="315"/>
        <v>NO</v>
      </c>
      <c r="Q324">
        <f t="shared" si="254"/>
        <v>634316</v>
      </c>
      <c r="R324" t="str">
        <f t="shared" si="316"/>
        <v>2022-2023</v>
      </c>
    </row>
    <row r="325" spans="1:18" hidden="1" x14ac:dyDescent="0.25">
      <c r="A325" t="s">
        <v>819</v>
      </c>
      <c r="B325" t="s">
        <v>820</v>
      </c>
      <c r="C325" t="s">
        <v>32</v>
      </c>
      <c r="D325" t="s">
        <v>9</v>
      </c>
      <c r="E325" s="1">
        <v>44938</v>
      </c>
      <c r="F325" t="s">
        <v>11</v>
      </c>
      <c r="G325">
        <v>5005</v>
      </c>
      <c r="H325">
        <v>5309</v>
      </c>
      <c r="I325">
        <v>3.62</v>
      </c>
      <c r="J325">
        <v>31</v>
      </c>
      <c r="Q325">
        <f t="shared" si="254"/>
        <v>634316</v>
      </c>
    </row>
    <row r="326" spans="1:18" hidden="1" x14ac:dyDescent="0.25">
      <c r="A326" t="s">
        <v>821</v>
      </c>
      <c r="B326" t="s">
        <v>822</v>
      </c>
      <c r="C326" t="s">
        <v>55</v>
      </c>
      <c r="D326" t="s">
        <v>9</v>
      </c>
      <c r="E326" s="1">
        <v>45444</v>
      </c>
      <c r="F326" t="s">
        <v>11</v>
      </c>
      <c r="G326">
        <v>5480</v>
      </c>
      <c r="H326">
        <v>5300</v>
      </c>
      <c r="I326">
        <v>3.52</v>
      </c>
      <c r="J326">
        <v>111</v>
      </c>
      <c r="Q326">
        <f t="shared" si="254"/>
        <v>629311</v>
      </c>
    </row>
    <row r="327" spans="1:18" x14ac:dyDescent="0.25">
      <c r="A327" t="s">
        <v>823</v>
      </c>
      <c r="B327" t="s">
        <v>824</v>
      </c>
      <c r="C327" t="s">
        <v>14</v>
      </c>
      <c r="D327" t="s">
        <v>65</v>
      </c>
      <c r="E327" t="s">
        <v>470</v>
      </c>
      <c r="F327" t="s">
        <v>5</v>
      </c>
      <c r="G327">
        <v>12926</v>
      </c>
      <c r="H327">
        <v>1253</v>
      </c>
      <c r="I327">
        <v>3.62</v>
      </c>
      <c r="J327">
        <v>13</v>
      </c>
      <c r="K327">
        <f t="shared" ref="K327" ca="1" si="317">IF(F327="Enrolled", TODAY()-E327, "")</f>
        <v>589</v>
      </c>
      <c r="M327">
        <f ca="1">IF(F327="Enrolled",TODAY() - E327,"")</f>
        <v>589</v>
      </c>
      <c r="N327" t="str">
        <f>IF(I329&gt;=3.5,"Excellent",IF(I329&gt;=3,"Good",IF(I329&gt;=2,"Average","Poor")))</f>
        <v>Excellent</v>
      </c>
      <c r="O327" t="e">
        <f>VLOOKUP(D327, $T$18:$U$23, 2, FALSE)</f>
        <v>#N/A</v>
      </c>
      <c r="P327" t="str">
        <f t="shared" ref="P327" si="318">IF(H327 &gt; 0.5 * G327, "YES", "NO")</f>
        <v>NO</v>
      </c>
      <c r="Q327">
        <f t="shared" si="254"/>
        <v>623831</v>
      </c>
      <c r="R327" t="str">
        <f>IF(MONTH(E321)&gt;=6, YEAR(E321) &amp; "-" &amp; YEAR(E321)+1, YEAR(E321)-1 &amp; "-" &amp; YEAR(E321))</f>
        <v>2022-2023</v>
      </c>
    </row>
    <row r="328" spans="1:18" hidden="1" x14ac:dyDescent="0.25">
      <c r="A328" t="s">
        <v>825</v>
      </c>
      <c r="B328" t="s">
        <v>826</v>
      </c>
      <c r="C328" t="s">
        <v>2</v>
      </c>
      <c r="D328" t="s">
        <v>3</v>
      </c>
      <c r="E328" t="s">
        <v>827</v>
      </c>
      <c r="F328" t="s">
        <v>36</v>
      </c>
      <c r="G328">
        <v>11564</v>
      </c>
      <c r="H328">
        <v>2120</v>
      </c>
      <c r="I328">
        <v>2.13</v>
      </c>
      <c r="J328">
        <v>68</v>
      </c>
      <c r="Q328">
        <f t="shared" si="254"/>
        <v>623831</v>
      </c>
    </row>
    <row r="329" spans="1:18" x14ac:dyDescent="0.25">
      <c r="A329" t="s">
        <v>828</v>
      </c>
      <c r="B329" t="s">
        <v>829</v>
      </c>
      <c r="C329" t="s">
        <v>55</v>
      </c>
      <c r="D329" t="s">
        <v>65</v>
      </c>
      <c r="E329" s="1">
        <v>44777</v>
      </c>
      <c r="F329" t="s">
        <v>5</v>
      </c>
      <c r="G329">
        <v>8396</v>
      </c>
      <c r="H329">
        <v>5614</v>
      </c>
      <c r="I329">
        <v>3.52</v>
      </c>
      <c r="J329">
        <v>8</v>
      </c>
      <c r="K329">
        <f t="shared" ref="K329:K332" ca="1" si="319">IF(F329="Enrolled", TODAY()-E329, "")</f>
        <v>1190</v>
      </c>
      <c r="M329">
        <f t="shared" ref="M329:M332" ca="1" si="320">IF(F329="Enrolled",TODAY() - E329,"")</f>
        <v>1190</v>
      </c>
      <c r="N329" t="str">
        <f t="shared" ref="N329:N332" si="321">IF(I331&gt;=3.5,"Excellent",IF(I331&gt;=3,"Good",IF(I331&gt;=2,"Average","Poor")))</f>
        <v>Average</v>
      </c>
      <c r="O329" t="e">
        <f t="shared" ref="O329:O332" si="322">VLOOKUP(D329, $T$18:$U$23, 2, FALSE)</f>
        <v>#N/A</v>
      </c>
      <c r="P329" t="str">
        <f t="shared" ref="P329:P332" si="323">IF(H329 &gt; 0.5 * G329, "YES", "NO")</f>
        <v>YES</v>
      </c>
      <c r="Q329">
        <f t="shared" si="254"/>
        <v>623831</v>
      </c>
      <c r="R329" t="str">
        <f t="shared" ref="R329:R332" si="324">IF(MONTH(E323)&gt;=6, YEAR(E323) &amp; "-" &amp; YEAR(E323)+1, YEAR(E323)-1 &amp; "-" &amp; YEAR(E323))</f>
        <v>2023-2024</v>
      </c>
    </row>
    <row r="330" spans="1:18" x14ac:dyDescent="0.25">
      <c r="A330" t="s">
        <v>830</v>
      </c>
      <c r="B330" t="s">
        <v>831</v>
      </c>
      <c r="C330" t="s">
        <v>55</v>
      </c>
      <c r="D330" t="s">
        <v>9</v>
      </c>
      <c r="E330" s="1">
        <v>45262</v>
      </c>
      <c r="F330" t="s">
        <v>5</v>
      </c>
      <c r="G330">
        <v>10998</v>
      </c>
      <c r="H330">
        <v>3502</v>
      </c>
      <c r="I330">
        <v>2.02</v>
      </c>
      <c r="J330">
        <v>113</v>
      </c>
      <c r="K330">
        <f t="shared" ca="1" si="319"/>
        <v>705</v>
      </c>
      <c r="M330">
        <f t="shared" ca="1" si="320"/>
        <v>705</v>
      </c>
      <c r="N330" t="str">
        <f t="shared" si="321"/>
        <v>Excellent</v>
      </c>
      <c r="O330" t="e">
        <f t="shared" si="322"/>
        <v>#N/A</v>
      </c>
      <c r="P330" t="str">
        <f t="shared" si="323"/>
        <v>NO</v>
      </c>
      <c r="Q330">
        <f t="shared" si="254"/>
        <v>623831</v>
      </c>
      <c r="R330" t="str">
        <f t="shared" si="324"/>
        <v>2021-2022</v>
      </c>
    </row>
    <row r="331" spans="1:18" x14ac:dyDescent="0.25">
      <c r="A331" t="s">
        <v>832</v>
      </c>
      <c r="B331" t="s">
        <v>833</v>
      </c>
      <c r="C331" t="s">
        <v>21</v>
      </c>
      <c r="D331" t="s">
        <v>25</v>
      </c>
      <c r="E331" t="s">
        <v>834</v>
      </c>
      <c r="F331" t="s">
        <v>5</v>
      </c>
      <c r="G331">
        <v>8399</v>
      </c>
      <c r="H331">
        <v>1597</v>
      </c>
      <c r="I331">
        <v>2.92</v>
      </c>
      <c r="J331">
        <v>54</v>
      </c>
      <c r="K331">
        <f t="shared" ca="1" si="319"/>
        <v>1389</v>
      </c>
      <c r="M331">
        <f t="shared" ca="1" si="320"/>
        <v>1389</v>
      </c>
      <c r="N331" t="str">
        <f t="shared" si="321"/>
        <v>Average</v>
      </c>
      <c r="O331" t="e">
        <f t="shared" si="322"/>
        <v>#N/A</v>
      </c>
      <c r="P331" t="str">
        <f t="shared" si="323"/>
        <v>NO</v>
      </c>
      <c r="Q331">
        <f t="shared" si="254"/>
        <v>623831</v>
      </c>
      <c r="R331" t="str">
        <f t="shared" si="324"/>
        <v>2022-2023</v>
      </c>
    </row>
    <row r="332" spans="1:18" x14ac:dyDescent="0.25">
      <c r="A332" t="s">
        <v>835</v>
      </c>
      <c r="B332" t="s">
        <v>836</v>
      </c>
      <c r="C332" t="s">
        <v>58</v>
      </c>
      <c r="D332" t="s">
        <v>25</v>
      </c>
      <c r="E332" t="s">
        <v>837</v>
      </c>
      <c r="F332" t="s">
        <v>5</v>
      </c>
      <c r="G332">
        <v>14659</v>
      </c>
      <c r="H332">
        <v>4249</v>
      </c>
      <c r="I332">
        <v>3.9</v>
      </c>
      <c r="J332">
        <v>4</v>
      </c>
      <c r="K332">
        <f t="shared" ca="1" si="319"/>
        <v>1327</v>
      </c>
      <c r="M332">
        <f t="shared" ca="1" si="320"/>
        <v>1327</v>
      </c>
      <c r="N332" t="str">
        <f t="shared" si="321"/>
        <v>Average</v>
      </c>
      <c r="O332" t="e">
        <f t="shared" si="322"/>
        <v>#N/A</v>
      </c>
      <c r="P332" t="str">
        <f t="shared" si="323"/>
        <v>NO</v>
      </c>
      <c r="Q332">
        <f t="shared" si="254"/>
        <v>623831</v>
      </c>
      <c r="R332" t="str">
        <f t="shared" si="324"/>
        <v>2024-2025</v>
      </c>
    </row>
    <row r="333" spans="1:18" hidden="1" x14ac:dyDescent="0.25">
      <c r="A333" t="s">
        <v>838</v>
      </c>
      <c r="B333" t="s">
        <v>839</v>
      </c>
      <c r="C333" t="s">
        <v>8</v>
      </c>
      <c r="D333" t="s">
        <v>9</v>
      </c>
      <c r="E333" t="s">
        <v>840</v>
      </c>
      <c r="F333" t="s">
        <v>11</v>
      </c>
      <c r="G333">
        <v>11038</v>
      </c>
      <c r="H333">
        <v>590</v>
      </c>
      <c r="I333">
        <v>2.02</v>
      </c>
      <c r="J333">
        <v>16</v>
      </c>
      <c r="Q333">
        <f t="shared" ref="Q333:Q396" si="325">SUMIFS(G333:G1531, F333:F1531, "Completed", D333:D1531, "Science")</f>
        <v>623831</v>
      </c>
    </row>
    <row r="334" spans="1:18" hidden="1" x14ac:dyDescent="0.25">
      <c r="A334" t="s">
        <v>841</v>
      </c>
      <c r="B334" t="s">
        <v>842</v>
      </c>
      <c r="C334" t="s">
        <v>2</v>
      </c>
      <c r="D334" t="s">
        <v>3</v>
      </c>
      <c r="E334" t="s">
        <v>843</v>
      </c>
      <c r="F334" t="s">
        <v>11</v>
      </c>
      <c r="G334">
        <v>3155</v>
      </c>
      <c r="H334">
        <v>1309</v>
      </c>
      <c r="I334">
        <v>2.13</v>
      </c>
      <c r="J334">
        <v>60</v>
      </c>
      <c r="Q334">
        <f t="shared" si="325"/>
        <v>612793</v>
      </c>
    </row>
    <row r="335" spans="1:18" x14ac:dyDescent="0.25">
      <c r="A335" t="s">
        <v>844</v>
      </c>
      <c r="B335" t="s">
        <v>845</v>
      </c>
      <c r="C335" t="s">
        <v>58</v>
      </c>
      <c r="D335" t="s">
        <v>3</v>
      </c>
      <c r="E335" t="s">
        <v>846</v>
      </c>
      <c r="F335" t="s">
        <v>5</v>
      </c>
      <c r="G335">
        <v>9857</v>
      </c>
      <c r="H335">
        <v>5580</v>
      </c>
      <c r="I335">
        <v>2.76</v>
      </c>
      <c r="J335">
        <v>6</v>
      </c>
      <c r="K335">
        <f t="shared" ref="K335:K349" ca="1" si="326">IF(F335="Enrolled", TODAY()-E335, "")</f>
        <v>992</v>
      </c>
      <c r="M335">
        <f t="shared" ref="M335:M349" ca="1" si="327">IF(F335="Enrolled",TODAY() - E335,"")</f>
        <v>992</v>
      </c>
      <c r="N335" t="str">
        <f t="shared" ref="N335:N349" si="328">IF(I337&gt;=3.5,"Excellent",IF(I337&gt;=3,"Good",IF(I337&gt;=2,"Average","Poor")))</f>
        <v>Average</v>
      </c>
      <c r="O335" t="e">
        <f t="shared" ref="O335:O349" si="329">VLOOKUP(D335, $T$18:$U$23, 2, FALSE)</f>
        <v>#N/A</v>
      </c>
      <c r="P335" t="str">
        <f t="shared" ref="P335:P349" si="330">IF(H335 &gt; 0.5 * G335, "YES", "NO")</f>
        <v>YES</v>
      </c>
      <c r="Q335">
        <f t="shared" si="325"/>
        <v>612793</v>
      </c>
      <c r="R335" t="str">
        <f t="shared" ref="R335:R349" si="331">IF(MONTH(E329)&gt;=6, YEAR(E329) &amp; "-" &amp; YEAR(E329)+1, YEAR(E329)-1 &amp; "-" &amp; YEAR(E329))</f>
        <v>2022-2023</v>
      </c>
    </row>
    <row r="336" spans="1:18" x14ac:dyDescent="0.25">
      <c r="A336" t="s">
        <v>847</v>
      </c>
      <c r="B336" t="s">
        <v>848</v>
      </c>
      <c r="C336" t="s">
        <v>21</v>
      </c>
      <c r="D336" t="s">
        <v>65</v>
      </c>
      <c r="E336" t="s">
        <v>849</v>
      </c>
      <c r="F336" t="s">
        <v>5</v>
      </c>
      <c r="G336">
        <v>3419</v>
      </c>
      <c r="H336">
        <v>7990</v>
      </c>
      <c r="I336">
        <v>3.98</v>
      </c>
      <c r="J336">
        <v>57</v>
      </c>
      <c r="K336">
        <f t="shared" ca="1" si="326"/>
        <v>1360</v>
      </c>
      <c r="M336">
        <f t="shared" ca="1" si="327"/>
        <v>1360</v>
      </c>
      <c r="N336" t="str">
        <f t="shared" si="328"/>
        <v>Average</v>
      </c>
      <c r="O336" t="e">
        <f t="shared" si="329"/>
        <v>#N/A</v>
      </c>
      <c r="P336" t="str">
        <f t="shared" si="330"/>
        <v>YES</v>
      </c>
      <c r="Q336">
        <f t="shared" si="325"/>
        <v>612793</v>
      </c>
      <c r="R336" t="str">
        <f t="shared" si="331"/>
        <v>2023-2024</v>
      </c>
    </row>
    <row r="337" spans="1:18" x14ac:dyDescent="0.25">
      <c r="A337" t="s">
        <v>850</v>
      </c>
      <c r="B337" t="s">
        <v>851</v>
      </c>
      <c r="C337" t="s">
        <v>14</v>
      </c>
      <c r="D337" t="s">
        <v>9</v>
      </c>
      <c r="E337" s="1">
        <v>44630</v>
      </c>
      <c r="F337" t="s">
        <v>5</v>
      </c>
      <c r="G337">
        <v>10227</v>
      </c>
      <c r="H337">
        <v>8244</v>
      </c>
      <c r="I337">
        <v>2.46</v>
      </c>
      <c r="J337">
        <v>40</v>
      </c>
      <c r="K337">
        <f t="shared" ca="1" si="326"/>
        <v>1337</v>
      </c>
      <c r="M337">
        <f t="shared" ca="1" si="327"/>
        <v>1337</v>
      </c>
      <c r="N337" t="str">
        <f t="shared" si="328"/>
        <v>Good</v>
      </c>
      <c r="O337" t="e">
        <f t="shared" si="329"/>
        <v>#N/A</v>
      </c>
      <c r="P337" t="str">
        <f t="shared" si="330"/>
        <v>YES</v>
      </c>
      <c r="Q337">
        <f t="shared" si="325"/>
        <v>612793</v>
      </c>
      <c r="R337" t="str">
        <f t="shared" si="331"/>
        <v>2021-2022</v>
      </c>
    </row>
    <row r="338" spans="1:18" x14ac:dyDescent="0.25">
      <c r="A338" t="s">
        <v>852</v>
      </c>
      <c r="B338" t="s">
        <v>853</v>
      </c>
      <c r="C338" t="s">
        <v>58</v>
      </c>
      <c r="D338" t="s">
        <v>65</v>
      </c>
      <c r="E338" s="1">
        <v>45181</v>
      </c>
      <c r="F338" t="s">
        <v>5</v>
      </c>
      <c r="G338">
        <v>5425</v>
      </c>
      <c r="H338">
        <v>8837</v>
      </c>
      <c r="I338">
        <v>2.46</v>
      </c>
      <c r="J338">
        <v>17</v>
      </c>
      <c r="K338">
        <f t="shared" ca="1" si="326"/>
        <v>786</v>
      </c>
      <c r="M338">
        <f t="shared" ca="1" si="327"/>
        <v>786</v>
      </c>
      <c r="N338" t="str">
        <f t="shared" si="328"/>
        <v>Average</v>
      </c>
      <c r="O338" t="e">
        <f t="shared" si="329"/>
        <v>#N/A</v>
      </c>
      <c r="P338" t="str">
        <f t="shared" si="330"/>
        <v>YES</v>
      </c>
      <c r="Q338">
        <f t="shared" si="325"/>
        <v>612793</v>
      </c>
      <c r="R338" t="str">
        <f t="shared" si="331"/>
        <v>2021-2022</v>
      </c>
    </row>
    <row r="339" spans="1:18" x14ac:dyDescent="0.25">
      <c r="A339" t="s">
        <v>854</v>
      </c>
      <c r="B339" t="s">
        <v>855</v>
      </c>
      <c r="C339" t="s">
        <v>2</v>
      </c>
      <c r="D339" t="s">
        <v>9</v>
      </c>
      <c r="E339" t="s">
        <v>856</v>
      </c>
      <c r="F339" t="s">
        <v>5</v>
      </c>
      <c r="G339">
        <v>3010</v>
      </c>
      <c r="H339">
        <v>3613</v>
      </c>
      <c r="I339">
        <v>3.27</v>
      </c>
      <c r="J339">
        <v>9</v>
      </c>
      <c r="K339">
        <f t="shared" ca="1" si="326"/>
        <v>661</v>
      </c>
      <c r="M339">
        <f t="shared" ca="1" si="327"/>
        <v>661</v>
      </c>
      <c r="N339" t="str">
        <f t="shared" si="328"/>
        <v>Average</v>
      </c>
      <c r="O339" t="e">
        <f t="shared" si="329"/>
        <v>#N/A</v>
      </c>
      <c r="P339" t="str">
        <f t="shared" si="330"/>
        <v>YES</v>
      </c>
      <c r="Q339">
        <f t="shared" si="325"/>
        <v>612793</v>
      </c>
      <c r="R339" t="str">
        <f t="shared" si="331"/>
        <v>2023-2024</v>
      </c>
    </row>
    <row r="340" spans="1:18" x14ac:dyDescent="0.25">
      <c r="A340" t="s">
        <v>857</v>
      </c>
      <c r="B340" t="s">
        <v>858</v>
      </c>
      <c r="C340" t="s">
        <v>58</v>
      </c>
      <c r="D340" t="s">
        <v>25</v>
      </c>
      <c r="E340" t="s">
        <v>859</v>
      </c>
      <c r="F340" t="s">
        <v>5</v>
      </c>
      <c r="G340">
        <v>8290</v>
      </c>
      <c r="H340">
        <v>4182</v>
      </c>
      <c r="I340">
        <v>2.71</v>
      </c>
      <c r="J340">
        <v>72</v>
      </c>
      <c r="K340">
        <f t="shared" ca="1" si="326"/>
        <v>1113</v>
      </c>
      <c r="M340">
        <f t="shared" ca="1" si="327"/>
        <v>1113</v>
      </c>
      <c r="N340" t="str">
        <f t="shared" si="328"/>
        <v>Average</v>
      </c>
      <c r="O340" t="e">
        <f t="shared" si="329"/>
        <v>#N/A</v>
      </c>
      <c r="P340" t="str">
        <f t="shared" si="330"/>
        <v>YES</v>
      </c>
      <c r="Q340">
        <f t="shared" si="325"/>
        <v>612793</v>
      </c>
      <c r="R340" t="str">
        <f t="shared" si="331"/>
        <v>2022-2023</v>
      </c>
    </row>
    <row r="341" spans="1:18" x14ac:dyDescent="0.25">
      <c r="A341" t="s">
        <v>860</v>
      </c>
      <c r="B341" t="s">
        <v>861</v>
      </c>
      <c r="C341" t="s">
        <v>32</v>
      </c>
      <c r="D341" t="s">
        <v>65</v>
      </c>
      <c r="E341" t="s">
        <v>862</v>
      </c>
      <c r="F341" t="s">
        <v>5</v>
      </c>
      <c r="G341">
        <v>3151</v>
      </c>
      <c r="H341">
        <v>2504</v>
      </c>
      <c r="I341">
        <v>2.38</v>
      </c>
      <c r="J341">
        <v>51</v>
      </c>
      <c r="K341">
        <f t="shared" ca="1" si="326"/>
        <v>905</v>
      </c>
      <c r="M341">
        <f t="shared" ca="1" si="327"/>
        <v>905</v>
      </c>
      <c r="N341" t="str">
        <f t="shared" si="328"/>
        <v>Good</v>
      </c>
      <c r="O341" t="e">
        <f t="shared" si="329"/>
        <v>#N/A</v>
      </c>
      <c r="P341" t="str">
        <f t="shared" si="330"/>
        <v>YES</v>
      </c>
      <c r="Q341">
        <f t="shared" si="325"/>
        <v>612793</v>
      </c>
      <c r="R341" t="str">
        <f t="shared" si="331"/>
        <v>2022-2023</v>
      </c>
    </row>
    <row r="342" spans="1:18" x14ac:dyDescent="0.25">
      <c r="A342" t="s">
        <v>863</v>
      </c>
      <c r="B342" t="s">
        <v>864</v>
      </c>
      <c r="C342" t="s">
        <v>8</v>
      </c>
      <c r="D342" t="s">
        <v>3</v>
      </c>
      <c r="E342" t="s">
        <v>865</v>
      </c>
      <c r="F342" t="s">
        <v>5</v>
      </c>
      <c r="G342">
        <v>3317</v>
      </c>
      <c r="H342">
        <v>5701</v>
      </c>
      <c r="I342">
        <v>2.08</v>
      </c>
      <c r="J342">
        <v>85</v>
      </c>
      <c r="K342">
        <f t="shared" ca="1" si="326"/>
        <v>924</v>
      </c>
      <c r="M342">
        <f t="shared" ca="1" si="327"/>
        <v>924</v>
      </c>
      <c r="N342" t="str">
        <f t="shared" si="328"/>
        <v>Good</v>
      </c>
      <c r="O342" t="e">
        <f t="shared" si="329"/>
        <v>#N/A</v>
      </c>
      <c r="P342" t="str">
        <f t="shared" si="330"/>
        <v>YES</v>
      </c>
      <c r="Q342">
        <f t="shared" si="325"/>
        <v>612793</v>
      </c>
      <c r="R342" t="str">
        <f t="shared" si="331"/>
        <v>2021-2022</v>
      </c>
    </row>
    <row r="343" spans="1:18" x14ac:dyDescent="0.25">
      <c r="A343" t="s">
        <v>866</v>
      </c>
      <c r="B343" t="s">
        <v>867</v>
      </c>
      <c r="C343" t="s">
        <v>21</v>
      </c>
      <c r="D343" t="s">
        <v>65</v>
      </c>
      <c r="E343" t="s">
        <v>868</v>
      </c>
      <c r="F343" t="s">
        <v>5</v>
      </c>
      <c r="G343">
        <v>4447</v>
      </c>
      <c r="H343">
        <v>1972</v>
      </c>
      <c r="I343">
        <v>3.43</v>
      </c>
      <c r="J343">
        <v>67</v>
      </c>
      <c r="K343">
        <f t="shared" ca="1" si="326"/>
        <v>1356</v>
      </c>
      <c r="M343">
        <f t="shared" ca="1" si="327"/>
        <v>1356</v>
      </c>
      <c r="N343" t="str">
        <f t="shared" si="328"/>
        <v>Good</v>
      </c>
      <c r="O343" t="e">
        <f t="shared" si="329"/>
        <v>#N/A</v>
      </c>
      <c r="P343" t="str">
        <f t="shared" si="330"/>
        <v>NO</v>
      </c>
      <c r="Q343">
        <f t="shared" si="325"/>
        <v>612793</v>
      </c>
      <c r="R343" t="str">
        <f t="shared" si="331"/>
        <v>2021-2022</v>
      </c>
    </row>
    <row r="344" spans="1:18" x14ac:dyDescent="0.25">
      <c r="A344" t="s">
        <v>869</v>
      </c>
      <c r="B344" t="s">
        <v>870</v>
      </c>
      <c r="C344" t="s">
        <v>17</v>
      </c>
      <c r="D344" t="s">
        <v>9</v>
      </c>
      <c r="E344" t="s">
        <v>871</v>
      </c>
      <c r="F344" t="s">
        <v>5</v>
      </c>
      <c r="G344">
        <v>4390</v>
      </c>
      <c r="H344">
        <v>9450</v>
      </c>
      <c r="I344">
        <v>3.04</v>
      </c>
      <c r="J344">
        <v>119</v>
      </c>
      <c r="K344">
        <f t="shared" ca="1" si="326"/>
        <v>646</v>
      </c>
      <c r="M344">
        <f t="shared" ca="1" si="327"/>
        <v>646</v>
      </c>
      <c r="N344" t="str">
        <f t="shared" si="328"/>
        <v>Good</v>
      </c>
      <c r="O344" t="e">
        <f t="shared" si="329"/>
        <v>#N/A</v>
      </c>
      <c r="P344" t="str">
        <f t="shared" si="330"/>
        <v>YES</v>
      </c>
      <c r="Q344">
        <f t="shared" si="325"/>
        <v>612793</v>
      </c>
      <c r="R344" t="str">
        <f t="shared" si="331"/>
        <v>2023-2024</v>
      </c>
    </row>
    <row r="345" spans="1:18" x14ac:dyDescent="0.25">
      <c r="A345" t="s">
        <v>872</v>
      </c>
      <c r="B345" t="s">
        <v>873</v>
      </c>
      <c r="C345" t="s">
        <v>8</v>
      </c>
      <c r="D345" t="s">
        <v>9</v>
      </c>
      <c r="E345" t="s">
        <v>874</v>
      </c>
      <c r="F345" t="s">
        <v>5</v>
      </c>
      <c r="G345">
        <v>12226</v>
      </c>
      <c r="H345">
        <v>5785</v>
      </c>
      <c r="I345">
        <v>3.48</v>
      </c>
      <c r="J345">
        <v>46</v>
      </c>
      <c r="K345">
        <f t="shared" ca="1" si="326"/>
        <v>1022</v>
      </c>
      <c r="M345">
        <f t="shared" ca="1" si="327"/>
        <v>1022</v>
      </c>
      <c r="N345" t="str">
        <f t="shared" si="328"/>
        <v>Average</v>
      </c>
      <c r="O345" t="e">
        <f t="shared" si="329"/>
        <v>#N/A</v>
      </c>
      <c r="P345" t="str">
        <f t="shared" si="330"/>
        <v>NO</v>
      </c>
      <c r="Q345">
        <f t="shared" si="325"/>
        <v>612793</v>
      </c>
      <c r="R345" t="str">
        <f t="shared" si="331"/>
        <v>2023-2024</v>
      </c>
    </row>
    <row r="346" spans="1:18" x14ac:dyDescent="0.25">
      <c r="A346" t="s">
        <v>875</v>
      </c>
      <c r="B346" t="s">
        <v>876</v>
      </c>
      <c r="C346" t="s">
        <v>58</v>
      </c>
      <c r="D346" t="s">
        <v>3</v>
      </c>
      <c r="E346" t="s">
        <v>877</v>
      </c>
      <c r="F346" t="s">
        <v>5</v>
      </c>
      <c r="G346">
        <v>10765</v>
      </c>
      <c r="H346">
        <v>3730</v>
      </c>
      <c r="I346">
        <v>3.18</v>
      </c>
      <c r="J346">
        <v>109</v>
      </c>
      <c r="K346">
        <f t="shared" ca="1" si="326"/>
        <v>507</v>
      </c>
      <c r="M346">
        <f t="shared" ca="1" si="327"/>
        <v>507</v>
      </c>
      <c r="N346" t="str">
        <f t="shared" si="328"/>
        <v>Good</v>
      </c>
      <c r="O346" t="e">
        <f t="shared" si="329"/>
        <v>#N/A</v>
      </c>
      <c r="P346" t="str">
        <f t="shared" si="330"/>
        <v>NO</v>
      </c>
      <c r="Q346">
        <f t="shared" si="325"/>
        <v>612793</v>
      </c>
      <c r="R346" t="str">
        <f t="shared" si="331"/>
        <v>2022-2023</v>
      </c>
    </row>
    <row r="347" spans="1:18" x14ac:dyDescent="0.25">
      <c r="A347" t="s">
        <v>878</v>
      </c>
      <c r="B347" t="s">
        <v>879</v>
      </c>
      <c r="C347" t="s">
        <v>8</v>
      </c>
      <c r="D347" t="s">
        <v>65</v>
      </c>
      <c r="E347" t="s">
        <v>713</v>
      </c>
      <c r="F347" t="s">
        <v>5</v>
      </c>
      <c r="G347">
        <v>6631</v>
      </c>
      <c r="H347">
        <v>3605</v>
      </c>
      <c r="I347">
        <v>2.15</v>
      </c>
      <c r="J347">
        <v>93</v>
      </c>
      <c r="K347">
        <f t="shared" ca="1" si="326"/>
        <v>784</v>
      </c>
      <c r="M347">
        <f t="shared" ca="1" si="327"/>
        <v>784</v>
      </c>
      <c r="N347" t="str">
        <f t="shared" si="328"/>
        <v>Average</v>
      </c>
      <c r="O347" t="e">
        <f t="shared" si="329"/>
        <v>#N/A</v>
      </c>
      <c r="P347" t="str">
        <f t="shared" si="330"/>
        <v>YES</v>
      </c>
      <c r="Q347">
        <f t="shared" si="325"/>
        <v>612793</v>
      </c>
      <c r="R347" t="str">
        <f t="shared" si="331"/>
        <v>2022-2023</v>
      </c>
    </row>
    <row r="348" spans="1:18" x14ac:dyDescent="0.25">
      <c r="A348" t="s">
        <v>880</v>
      </c>
      <c r="B348" t="s">
        <v>881</v>
      </c>
      <c r="C348" t="s">
        <v>21</v>
      </c>
      <c r="D348" t="s">
        <v>3</v>
      </c>
      <c r="E348" t="s">
        <v>183</v>
      </c>
      <c r="F348" t="s">
        <v>5</v>
      </c>
      <c r="G348">
        <v>12250</v>
      </c>
      <c r="H348">
        <v>373</v>
      </c>
      <c r="I348">
        <v>3.37</v>
      </c>
      <c r="J348">
        <v>23</v>
      </c>
      <c r="K348">
        <f t="shared" ca="1" si="326"/>
        <v>1083</v>
      </c>
      <c r="M348">
        <f t="shared" ca="1" si="327"/>
        <v>1083</v>
      </c>
      <c r="N348" t="str">
        <f t="shared" si="328"/>
        <v>Good</v>
      </c>
      <c r="O348" t="e">
        <f t="shared" si="329"/>
        <v>#N/A</v>
      </c>
      <c r="P348" t="str">
        <f t="shared" si="330"/>
        <v>NO</v>
      </c>
      <c r="Q348">
        <f t="shared" si="325"/>
        <v>612793</v>
      </c>
      <c r="R348" t="str">
        <f t="shared" si="331"/>
        <v>2022-2023</v>
      </c>
    </row>
    <row r="349" spans="1:18" x14ac:dyDescent="0.25">
      <c r="A349" t="s">
        <v>882</v>
      </c>
      <c r="B349" t="s">
        <v>883</v>
      </c>
      <c r="C349" t="s">
        <v>2</v>
      </c>
      <c r="D349" t="s">
        <v>3</v>
      </c>
      <c r="E349" t="s">
        <v>884</v>
      </c>
      <c r="F349" t="s">
        <v>5</v>
      </c>
      <c r="G349">
        <v>8028</v>
      </c>
      <c r="H349">
        <v>5955</v>
      </c>
      <c r="I349">
        <v>2.81</v>
      </c>
      <c r="J349">
        <v>4</v>
      </c>
      <c r="K349">
        <f t="shared" ca="1" si="326"/>
        <v>1326</v>
      </c>
      <c r="M349">
        <f t="shared" ca="1" si="327"/>
        <v>1326</v>
      </c>
      <c r="N349" t="str">
        <f t="shared" si="328"/>
        <v>Average</v>
      </c>
      <c r="O349" t="e">
        <f t="shared" si="329"/>
        <v>#N/A</v>
      </c>
      <c r="P349" t="str">
        <f t="shared" si="330"/>
        <v>YES</v>
      </c>
      <c r="Q349">
        <f t="shared" si="325"/>
        <v>612793</v>
      </c>
      <c r="R349" t="str">
        <f t="shared" si="331"/>
        <v>2021-2022</v>
      </c>
    </row>
    <row r="350" spans="1:18" hidden="1" x14ac:dyDescent="0.25">
      <c r="A350" t="s">
        <v>885</v>
      </c>
      <c r="B350" t="s">
        <v>886</v>
      </c>
      <c r="C350" t="s">
        <v>2</v>
      </c>
      <c r="D350" t="s">
        <v>65</v>
      </c>
      <c r="E350" t="s">
        <v>614</v>
      </c>
      <c r="F350" t="s">
        <v>11</v>
      </c>
      <c r="G350">
        <v>4948</v>
      </c>
      <c r="H350">
        <v>3342</v>
      </c>
      <c r="I350">
        <v>3.08</v>
      </c>
      <c r="J350">
        <v>119</v>
      </c>
      <c r="Q350">
        <f t="shared" si="325"/>
        <v>612793</v>
      </c>
    </row>
    <row r="351" spans="1:18" x14ac:dyDescent="0.25">
      <c r="A351" t="s">
        <v>887</v>
      </c>
      <c r="B351" t="s">
        <v>888</v>
      </c>
      <c r="C351" t="s">
        <v>14</v>
      </c>
      <c r="D351" t="s">
        <v>9</v>
      </c>
      <c r="E351" t="s">
        <v>889</v>
      </c>
      <c r="F351" t="s">
        <v>5</v>
      </c>
      <c r="G351">
        <v>5751</v>
      </c>
      <c r="H351">
        <v>1819</v>
      </c>
      <c r="I351">
        <v>2.04</v>
      </c>
      <c r="J351">
        <v>58</v>
      </c>
      <c r="K351">
        <f t="shared" ref="K351" ca="1" si="332">IF(F351="Enrolled", TODAY()-E351, "")</f>
        <v>585</v>
      </c>
      <c r="M351">
        <f ca="1">IF(F351="Enrolled",TODAY() - E351,"")</f>
        <v>585</v>
      </c>
      <c r="N351" t="str">
        <f>IF(I353&gt;=3.5,"Excellent",IF(I353&gt;=3,"Good",IF(I353&gt;=2,"Average","Poor")))</f>
        <v>Excellent</v>
      </c>
      <c r="O351" t="e">
        <f>VLOOKUP(D351, $T$18:$U$23, 2, FALSE)</f>
        <v>#N/A</v>
      </c>
      <c r="P351" t="str">
        <f t="shared" ref="P351" si="333">IF(H351 &gt; 0.5 * G351, "YES", "NO")</f>
        <v>NO</v>
      </c>
      <c r="Q351">
        <f t="shared" si="325"/>
        <v>612793</v>
      </c>
      <c r="R351" t="str">
        <f>IF(MONTH(E345)&gt;=6, YEAR(E345) &amp; "-" &amp; YEAR(E345)+1, YEAR(E345)-1 &amp; "-" &amp; YEAR(E345))</f>
        <v>2022-2023</v>
      </c>
    </row>
    <row r="352" spans="1:18" hidden="1" x14ac:dyDescent="0.25">
      <c r="A352" t="s">
        <v>890</v>
      </c>
      <c r="B352" t="s">
        <v>891</v>
      </c>
      <c r="C352" t="s">
        <v>17</v>
      </c>
      <c r="D352" t="s">
        <v>9</v>
      </c>
      <c r="E352" t="s">
        <v>892</v>
      </c>
      <c r="F352" t="s">
        <v>36</v>
      </c>
      <c r="G352">
        <v>8271</v>
      </c>
      <c r="H352">
        <v>6443</v>
      </c>
      <c r="I352">
        <v>3.38</v>
      </c>
      <c r="J352">
        <v>101</v>
      </c>
      <c r="Q352">
        <f t="shared" si="325"/>
        <v>612793</v>
      </c>
    </row>
    <row r="353" spans="1:18" x14ac:dyDescent="0.25">
      <c r="A353" t="s">
        <v>893</v>
      </c>
      <c r="B353" t="s">
        <v>894</v>
      </c>
      <c r="C353" t="s">
        <v>8</v>
      </c>
      <c r="D353" t="s">
        <v>25</v>
      </c>
      <c r="E353" t="s">
        <v>895</v>
      </c>
      <c r="F353" t="s">
        <v>5</v>
      </c>
      <c r="G353">
        <v>11568</v>
      </c>
      <c r="H353">
        <v>9456</v>
      </c>
      <c r="I353">
        <v>3.74</v>
      </c>
      <c r="J353">
        <v>104</v>
      </c>
      <c r="K353">
        <f t="shared" ref="K353:K354" ca="1" si="334">IF(F353="Enrolled", TODAY()-E353, "")</f>
        <v>655</v>
      </c>
      <c r="M353">
        <f t="shared" ref="M353:M354" ca="1" si="335">IF(F353="Enrolled",TODAY() - E353,"")</f>
        <v>655</v>
      </c>
      <c r="N353" t="str">
        <f t="shared" ref="N353:N354" si="336">IF(I355&gt;=3.5,"Excellent",IF(I355&gt;=3,"Good",IF(I355&gt;=2,"Average","Poor")))</f>
        <v>Excellent</v>
      </c>
      <c r="O353" t="e">
        <f t="shared" ref="O353:O354" si="337">VLOOKUP(D353, $T$18:$U$23, 2, FALSE)</f>
        <v>#N/A</v>
      </c>
      <c r="P353" t="str">
        <f t="shared" ref="P353:P354" si="338">IF(H353 &gt; 0.5 * G353, "YES", "NO")</f>
        <v>YES</v>
      </c>
      <c r="Q353">
        <f t="shared" si="325"/>
        <v>612793</v>
      </c>
      <c r="R353" t="str">
        <f t="shared" ref="R353:R354" si="339">IF(MONTH(E347)&gt;=6, YEAR(E347) &amp; "-" &amp; YEAR(E347)+1, YEAR(E347)-1 &amp; "-" &amp; YEAR(E347))</f>
        <v>2023-2024</v>
      </c>
    </row>
    <row r="354" spans="1:18" x14ac:dyDescent="0.25">
      <c r="A354" t="s">
        <v>896</v>
      </c>
      <c r="B354" t="s">
        <v>897</v>
      </c>
      <c r="C354" t="s">
        <v>2</v>
      </c>
      <c r="D354" t="s">
        <v>9</v>
      </c>
      <c r="E354" t="s">
        <v>390</v>
      </c>
      <c r="F354" t="s">
        <v>5</v>
      </c>
      <c r="G354">
        <v>10825</v>
      </c>
      <c r="H354">
        <v>9457</v>
      </c>
      <c r="I354">
        <v>3.74</v>
      </c>
      <c r="J354">
        <v>3</v>
      </c>
      <c r="K354">
        <f t="shared" ca="1" si="334"/>
        <v>829</v>
      </c>
      <c r="M354">
        <f t="shared" ca="1" si="335"/>
        <v>829</v>
      </c>
      <c r="N354" t="str">
        <f t="shared" si="336"/>
        <v>Average</v>
      </c>
      <c r="O354" t="e">
        <f t="shared" si="337"/>
        <v>#N/A</v>
      </c>
      <c r="P354" t="str">
        <f t="shared" si="338"/>
        <v>YES</v>
      </c>
      <c r="Q354">
        <f t="shared" si="325"/>
        <v>612793</v>
      </c>
      <c r="R354" t="str">
        <f t="shared" si="339"/>
        <v>2022-2023</v>
      </c>
    </row>
    <row r="355" spans="1:18" hidden="1" x14ac:dyDescent="0.25">
      <c r="A355" t="s">
        <v>898</v>
      </c>
      <c r="B355" t="s">
        <v>899</v>
      </c>
      <c r="C355" t="s">
        <v>55</v>
      </c>
      <c r="D355" t="s">
        <v>25</v>
      </c>
      <c r="E355" s="1">
        <v>44719</v>
      </c>
      <c r="F355" t="s">
        <v>11</v>
      </c>
      <c r="G355">
        <v>7978</v>
      </c>
      <c r="H355">
        <v>7406</v>
      </c>
      <c r="I355">
        <v>3.61</v>
      </c>
      <c r="J355">
        <v>32</v>
      </c>
      <c r="Q355">
        <f t="shared" si="325"/>
        <v>612793</v>
      </c>
    </row>
    <row r="356" spans="1:18" hidden="1" x14ac:dyDescent="0.25">
      <c r="A356" t="s">
        <v>900</v>
      </c>
      <c r="B356" t="s">
        <v>901</v>
      </c>
      <c r="C356" t="s">
        <v>14</v>
      </c>
      <c r="D356" t="s">
        <v>3</v>
      </c>
      <c r="E356" s="1">
        <v>44630</v>
      </c>
      <c r="F356" t="s">
        <v>11</v>
      </c>
      <c r="G356">
        <v>11708</v>
      </c>
      <c r="H356">
        <v>9853</v>
      </c>
      <c r="I356">
        <v>2.88</v>
      </c>
      <c r="J356">
        <v>49</v>
      </c>
      <c r="Q356">
        <f t="shared" si="325"/>
        <v>612793</v>
      </c>
    </row>
    <row r="357" spans="1:18" x14ac:dyDescent="0.25">
      <c r="A357" t="s">
        <v>902</v>
      </c>
      <c r="B357" t="s">
        <v>903</v>
      </c>
      <c r="C357" t="s">
        <v>21</v>
      </c>
      <c r="D357" t="s">
        <v>9</v>
      </c>
      <c r="E357" s="1">
        <v>44562</v>
      </c>
      <c r="F357" t="s">
        <v>5</v>
      </c>
      <c r="G357">
        <v>14323</v>
      </c>
      <c r="H357">
        <v>5656</v>
      </c>
      <c r="I357">
        <v>3.7</v>
      </c>
      <c r="J357">
        <v>48</v>
      </c>
      <c r="K357">
        <f t="shared" ref="K357:K360" ca="1" si="340">IF(F357="Enrolled", TODAY()-E357, "")</f>
        <v>1405</v>
      </c>
      <c r="M357">
        <f t="shared" ref="M357:M360" ca="1" si="341">IF(F357="Enrolled",TODAY() - E357,"")</f>
        <v>1405</v>
      </c>
      <c r="N357" t="str">
        <f t="shared" ref="N357:N360" si="342">IF(I359&gt;=3.5,"Excellent",IF(I359&gt;=3,"Good",IF(I359&gt;=2,"Average","Poor")))</f>
        <v>Average</v>
      </c>
      <c r="O357" t="e">
        <f t="shared" ref="O357:O360" si="343">VLOOKUP(D357, $T$18:$U$23, 2, FALSE)</f>
        <v>#N/A</v>
      </c>
      <c r="P357" t="str">
        <f t="shared" ref="P357:P360" si="344">IF(H357 &gt; 0.5 * G357, "YES", "NO")</f>
        <v>NO</v>
      </c>
      <c r="Q357">
        <f t="shared" si="325"/>
        <v>612793</v>
      </c>
      <c r="R357" t="str">
        <f t="shared" ref="R357:R360" si="345">IF(MONTH(E351)&gt;=6, YEAR(E351) &amp; "-" &amp; YEAR(E351)+1, YEAR(E351)-1 &amp; "-" &amp; YEAR(E351))</f>
        <v>2023-2024</v>
      </c>
    </row>
    <row r="358" spans="1:18" x14ac:dyDescent="0.25">
      <c r="A358" t="s">
        <v>904</v>
      </c>
      <c r="B358" t="s">
        <v>905</v>
      </c>
      <c r="C358" t="s">
        <v>55</v>
      </c>
      <c r="D358" t="s">
        <v>3</v>
      </c>
      <c r="E358" t="s">
        <v>35</v>
      </c>
      <c r="F358" t="s">
        <v>5</v>
      </c>
      <c r="G358">
        <v>3253</v>
      </c>
      <c r="H358">
        <v>8143</v>
      </c>
      <c r="I358">
        <v>2.79</v>
      </c>
      <c r="J358">
        <v>69</v>
      </c>
      <c r="K358">
        <f t="shared" ca="1" si="340"/>
        <v>1028</v>
      </c>
      <c r="M358">
        <f t="shared" ca="1" si="341"/>
        <v>1028</v>
      </c>
      <c r="N358" t="str">
        <f t="shared" si="342"/>
        <v>Average</v>
      </c>
      <c r="O358" t="e">
        <f t="shared" si="343"/>
        <v>#N/A</v>
      </c>
      <c r="P358" t="str">
        <f t="shared" si="344"/>
        <v>YES</v>
      </c>
      <c r="Q358">
        <f t="shared" si="325"/>
        <v>612793</v>
      </c>
      <c r="R358" t="str">
        <f t="shared" si="345"/>
        <v>2022-2023</v>
      </c>
    </row>
    <row r="359" spans="1:18" x14ac:dyDescent="0.25">
      <c r="A359" t="s">
        <v>906</v>
      </c>
      <c r="B359" t="s">
        <v>907</v>
      </c>
      <c r="C359" t="s">
        <v>21</v>
      </c>
      <c r="D359" t="s">
        <v>65</v>
      </c>
      <c r="E359" t="s">
        <v>908</v>
      </c>
      <c r="F359" t="s">
        <v>5</v>
      </c>
      <c r="G359">
        <v>14408</v>
      </c>
      <c r="H359">
        <v>9114</v>
      </c>
      <c r="I359">
        <v>2.0699999999999998</v>
      </c>
      <c r="J359">
        <v>74</v>
      </c>
      <c r="K359">
        <f t="shared" ca="1" si="340"/>
        <v>799</v>
      </c>
      <c r="M359">
        <f t="shared" ca="1" si="341"/>
        <v>799</v>
      </c>
      <c r="N359" t="str">
        <f t="shared" si="342"/>
        <v>Good</v>
      </c>
      <c r="O359" t="e">
        <f t="shared" si="343"/>
        <v>#N/A</v>
      </c>
      <c r="P359" t="str">
        <f t="shared" si="344"/>
        <v>YES</v>
      </c>
      <c r="Q359">
        <f t="shared" si="325"/>
        <v>612793</v>
      </c>
      <c r="R359" t="str">
        <f t="shared" si="345"/>
        <v>2023-2024</v>
      </c>
    </row>
    <row r="360" spans="1:18" x14ac:dyDescent="0.25">
      <c r="A360" t="s">
        <v>909</v>
      </c>
      <c r="B360" t="s">
        <v>910</v>
      </c>
      <c r="C360" t="s">
        <v>58</v>
      </c>
      <c r="D360" t="s">
        <v>3</v>
      </c>
      <c r="E360" t="s">
        <v>911</v>
      </c>
      <c r="F360" t="s">
        <v>5</v>
      </c>
      <c r="G360">
        <v>9948</v>
      </c>
      <c r="H360">
        <v>840</v>
      </c>
      <c r="I360">
        <v>2.4500000000000002</v>
      </c>
      <c r="J360">
        <v>9</v>
      </c>
      <c r="K360">
        <f t="shared" ca="1" si="340"/>
        <v>1107</v>
      </c>
      <c r="M360">
        <f t="shared" ca="1" si="341"/>
        <v>1107</v>
      </c>
      <c r="N360" t="str">
        <f t="shared" si="342"/>
        <v>Average</v>
      </c>
      <c r="O360" t="e">
        <f t="shared" si="343"/>
        <v>#N/A</v>
      </c>
      <c r="P360" t="str">
        <f t="shared" si="344"/>
        <v>NO</v>
      </c>
      <c r="Q360">
        <f t="shared" si="325"/>
        <v>612793</v>
      </c>
      <c r="R360" t="str">
        <f t="shared" si="345"/>
        <v>2023-2024</v>
      </c>
    </row>
    <row r="361" spans="1:18" hidden="1" x14ac:dyDescent="0.25">
      <c r="A361" t="s">
        <v>912</v>
      </c>
      <c r="B361" t="s">
        <v>913</v>
      </c>
      <c r="C361" t="s">
        <v>55</v>
      </c>
      <c r="D361" t="s">
        <v>9</v>
      </c>
      <c r="E361" t="s">
        <v>914</v>
      </c>
      <c r="F361" t="s">
        <v>36</v>
      </c>
      <c r="G361">
        <v>8535</v>
      </c>
      <c r="H361">
        <v>678</v>
      </c>
      <c r="I361">
        <v>3.07</v>
      </c>
      <c r="J361">
        <v>28</v>
      </c>
      <c r="Q361">
        <f t="shared" si="325"/>
        <v>612793</v>
      </c>
    </row>
    <row r="362" spans="1:18" x14ac:dyDescent="0.25">
      <c r="A362" t="s">
        <v>915</v>
      </c>
      <c r="B362" t="s">
        <v>916</v>
      </c>
      <c r="C362" t="s">
        <v>21</v>
      </c>
      <c r="D362" t="s">
        <v>25</v>
      </c>
      <c r="E362" t="s">
        <v>917</v>
      </c>
      <c r="F362" t="s">
        <v>5</v>
      </c>
      <c r="G362">
        <v>3685</v>
      </c>
      <c r="H362">
        <v>36</v>
      </c>
      <c r="I362">
        <v>2.57</v>
      </c>
      <c r="J362">
        <v>5</v>
      </c>
      <c r="K362">
        <f t="shared" ref="K362" ca="1" si="346">IF(F362="Enrolled", TODAY()-E362, "")</f>
        <v>1238</v>
      </c>
      <c r="M362">
        <f ca="1">IF(F362="Enrolled",TODAY() - E362,"")</f>
        <v>1238</v>
      </c>
      <c r="N362" t="str">
        <f>IF(I364&gt;=3.5,"Excellent",IF(I364&gt;=3,"Good",IF(I364&gt;=2,"Average","Poor")))</f>
        <v>Average</v>
      </c>
      <c r="O362" t="e">
        <f>VLOOKUP(D362, $T$18:$U$23, 2, FALSE)</f>
        <v>#N/A</v>
      </c>
      <c r="P362" t="str">
        <f t="shared" ref="P362" si="347">IF(H362 &gt; 0.5 * G362, "YES", "NO")</f>
        <v>NO</v>
      </c>
      <c r="Q362">
        <f t="shared" si="325"/>
        <v>612793</v>
      </c>
      <c r="R362" t="str">
        <f>IF(MONTH(E356)&gt;=6, YEAR(E356) &amp; "-" &amp; YEAR(E356)+1, YEAR(E356)-1 &amp; "-" &amp; YEAR(E356))</f>
        <v>2021-2022</v>
      </c>
    </row>
    <row r="363" spans="1:18" hidden="1" x14ac:dyDescent="0.25">
      <c r="A363" t="s">
        <v>918</v>
      </c>
      <c r="B363" t="s">
        <v>919</v>
      </c>
      <c r="C363" t="s">
        <v>58</v>
      </c>
      <c r="D363" t="s">
        <v>65</v>
      </c>
      <c r="E363" t="s">
        <v>222</v>
      </c>
      <c r="F363" t="s">
        <v>36</v>
      </c>
      <c r="G363">
        <v>13540</v>
      </c>
      <c r="H363">
        <v>3077</v>
      </c>
      <c r="I363">
        <v>3.69</v>
      </c>
      <c r="J363">
        <v>62</v>
      </c>
      <c r="Q363">
        <f t="shared" si="325"/>
        <v>612793</v>
      </c>
    </row>
    <row r="364" spans="1:18" hidden="1" x14ac:dyDescent="0.25">
      <c r="A364" t="s">
        <v>920</v>
      </c>
      <c r="B364" t="s">
        <v>921</v>
      </c>
      <c r="C364" t="s">
        <v>17</v>
      </c>
      <c r="D364" t="s">
        <v>9</v>
      </c>
      <c r="E364" s="1">
        <v>45540</v>
      </c>
      <c r="F364" t="s">
        <v>11</v>
      </c>
      <c r="G364">
        <v>14073</v>
      </c>
      <c r="H364">
        <v>6320</v>
      </c>
      <c r="I364">
        <v>2.4300000000000002</v>
      </c>
      <c r="J364">
        <v>3</v>
      </c>
      <c r="Q364">
        <f t="shared" si="325"/>
        <v>612793</v>
      </c>
    </row>
    <row r="365" spans="1:18" hidden="1" x14ac:dyDescent="0.25">
      <c r="A365" t="s">
        <v>922</v>
      </c>
      <c r="B365" t="s">
        <v>923</v>
      </c>
      <c r="C365" t="s">
        <v>58</v>
      </c>
      <c r="D365" t="s">
        <v>25</v>
      </c>
      <c r="E365" s="1">
        <v>45058</v>
      </c>
      <c r="F365" t="s">
        <v>11</v>
      </c>
      <c r="G365">
        <v>6665</v>
      </c>
      <c r="H365">
        <v>2771</v>
      </c>
      <c r="I365">
        <v>3.28</v>
      </c>
      <c r="J365">
        <v>66</v>
      </c>
      <c r="Q365">
        <f t="shared" si="325"/>
        <v>598720</v>
      </c>
    </row>
    <row r="366" spans="1:18" x14ac:dyDescent="0.25">
      <c r="A366" t="s">
        <v>924</v>
      </c>
      <c r="B366" t="s">
        <v>925</v>
      </c>
      <c r="C366" t="s">
        <v>14</v>
      </c>
      <c r="D366" t="s">
        <v>65</v>
      </c>
      <c r="E366" t="s">
        <v>926</v>
      </c>
      <c r="F366" t="s">
        <v>5</v>
      </c>
      <c r="G366">
        <v>7095</v>
      </c>
      <c r="H366">
        <v>8663</v>
      </c>
      <c r="I366">
        <v>2.3199999999999998</v>
      </c>
      <c r="J366">
        <v>98</v>
      </c>
      <c r="K366">
        <f t="shared" ref="K366:K367" ca="1" si="348">IF(F366="Enrolled", TODAY()-E366, "")</f>
        <v>1353</v>
      </c>
      <c r="M366">
        <f t="shared" ref="M366:M367" ca="1" si="349">IF(F366="Enrolled",TODAY() - E366,"")</f>
        <v>1353</v>
      </c>
      <c r="N366" t="str">
        <f t="shared" ref="N366:N367" si="350">IF(I368&gt;=3.5,"Excellent",IF(I368&gt;=3,"Good",IF(I368&gt;=2,"Average","Poor")))</f>
        <v>Average</v>
      </c>
      <c r="O366" t="e">
        <f t="shared" ref="O366:O367" si="351">VLOOKUP(D366, $T$18:$U$23, 2, FALSE)</f>
        <v>#N/A</v>
      </c>
      <c r="P366" t="str">
        <f t="shared" ref="P366:P367" si="352">IF(H366 &gt; 0.5 * G366, "YES", "NO")</f>
        <v>YES</v>
      </c>
      <c r="Q366">
        <f t="shared" si="325"/>
        <v>598720</v>
      </c>
      <c r="R366" t="str">
        <f t="shared" ref="R366:R367" si="353">IF(MONTH(E360)&gt;=6, YEAR(E360) &amp; "-" &amp; YEAR(E360)+1, YEAR(E360)-1 &amp; "-" &amp; YEAR(E360))</f>
        <v>2022-2023</v>
      </c>
    </row>
    <row r="367" spans="1:18" x14ac:dyDescent="0.25">
      <c r="A367" t="s">
        <v>927</v>
      </c>
      <c r="B367" t="s">
        <v>928</v>
      </c>
      <c r="C367" t="s">
        <v>17</v>
      </c>
      <c r="D367" t="s">
        <v>65</v>
      </c>
      <c r="E367" t="s">
        <v>929</v>
      </c>
      <c r="F367" t="s">
        <v>5</v>
      </c>
      <c r="G367">
        <v>14571</v>
      </c>
      <c r="H367">
        <v>1629</v>
      </c>
      <c r="I367">
        <v>2.36</v>
      </c>
      <c r="J367">
        <v>33</v>
      </c>
      <c r="K367">
        <f t="shared" ca="1" si="348"/>
        <v>1141</v>
      </c>
      <c r="M367">
        <f t="shared" ca="1" si="349"/>
        <v>1141</v>
      </c>
      <c r="N367" t="str">
        <f t="shared" si="350"/>
        <v>Average</v>
      </c>
      <c r="O367" t="e">
        <f t="shared" si="351"/>
        <v>#N/A</v>
      </c>
      <c r="P367" t="str">
        <f t="shared" si="352"/>
        <v>NO</v>
      </c>
      <c r="Q367">
        <f t="shared" si="325"/>
        <v>598720</v>
      </c>
      <c r="R367" t="str">
        <f t="shared" si="353"/>
        <v>2023-2024</v>
      </c>
    </row>
    <row r="368" spans="1:18" hidden="1" x14ac:dyDescent="0.25">
      <c r="A368" t="s">
        <v>930</v>
      </c>
      <c r="B368" t="s">
        <v>931</v>
      </c>
      <c r="C368" t="s">
        <v>17</v>
      </c>
      <c r="D368" t="s">
        <v>25</v>
      </c>
      <c r="E368" s="1">
        <v>45571</v>
      </c>
      <c r="F368" t="s">
        <v>36</v>
      </c>
      <c r="G368">
        <v>10830</v>
      </c>
      <c r="H368">
        <v>6989</v>
      </c>
      <c r="I368">
        <v>2.2200000000000002</v>
      </c>
      <c r="J368">
        <v>83</v>
      </c>
      <c r="Q368">
        <f t="shared" si="325"/>
        <v>598720</v>
      </c>
    </row>
    <row r="369" spans="1:18" hidden="1" x14ac:dyDescent="0.25">
      <c r="A369" t="s">
        <v>932</v>
      </c>
      <c r="B369" t="s">
        <v>933</v>
      </c>
      <c r="C369" t="s">
        <v>2</v>
      </c>
      <c r="D369" t="s">
        <v>9</v>
      </c>
      <c r="E369" s="1">
        <v>45241</v>
      </c>
      <c r="F369" t="s">
        <v>36</v>
      </c>
      <c r="G369">
        <v>8519</v>
      </c>
      <c r="H369">
        <v>2389</v>
      </c>
      <c r="I369">
        <v>2.85</v>
      </c>
      <c r="J369">
        <v>109</v>
      </c>
      <c r="Q369">
        <f t="shared" si="325"/>
        <v>598720</v>
      </c>
    </row>
    <row r="370" spans="1:18" x14ac:dyDescent="0.25">
      <c r="A370" t="s">
        <v>934</v>
      </c>
      <c r="B370" t="s">
        <v>935</v>
      </c>
      <c r="C370" t="s">
        <v>21</v>
      </c>
      <c r="D370" t="s">
        <v>9</v>
      </c>
      <c r="E370" s="1">
        <v>44810</v>
      </c>
      <c r="F370" t="s">
        <v>5</v>
      </c>
      <c r="G370">
        <v>3664</v>
      </c>
      <c r="H370">
        <v>6430</v>
      </c>
      <c r="I370">
        <v>3.23</v>
      </c>
      <c r="J370">
        <v>112</v>
      </c>
      <c r="K370">
        <f t="shared" ref="K370:K372" ca="1" si="354">IF(F370="Enrolled", TODAY()-E370, "")</f>
        <v>1157</v>
      </c>
      <c r="M370">
        <f t="shared" ref="M370:M372" ca="1" si="355">IF(F370="Enrolled",TODAY() - E370,"")</f>
        <v>1157</v>
      </c>
      <c r="N370" t="str">
        <f t="shared" ref="N370:N372" si="356">IF(I372&gt;=3.5,"Excellent",IF(I372&gt;=3,"Good",IF(I372&gt;=2,"Average","Poor")))</f>
        <v>Excellent</v>
      </c>
      <c r="O370" t="e">
        <f t="shared" ref="O370:O372" si="357">VLOOKUP(D370, $T$18:$U$23, 2, FALSE)</f>
        <v>#N/A</v>
      </c>
      <c r="P370" t="str">
        <f t="shared" ref="P370:P372" si="358">IF(H370 &gt; 0.5 * G370, "YES", "NO")</f>
        <v>YES</v>
      </c>
      <c r="Q370">
        <f t="shared" si="325"/>
        <v>598720</v>
      </c>
      <c r="R370" t="str">
        <f t="shared" ref="R370:R372" si="359">IF(MONTH(E364)&gt;=6, YEAR(E364) &amp; "-" &amp; YEAR(E364)+1, YEAR(E364)-1 &amp; "-" &amp; YEAR(E364))</f>
        <v>2024-2025</v>
      </c>
    </row>
    <row r="371" spans="1:18" x14ac:dyDescent="0.25">
      <c r="A371" t="s">
        <v>936</v>
      </c>
      <c r="B371" t="s">
        <v>937</v>
      </c>
      <c r="C371" t="s">
        <v>2</v>
      </c>
      <c r="D371" t="s">
        <v>9</v>
      </c>
      <c r="E371" t="s">
        <v>938</v>
      </c>
      <c r="F371" t="s">
        <v>5</v>
      </c>
      <c r="G371">
        <v>2185</v>
      </c>
      <c r="H371">
        <v>9733</v>
      </c>
      <c r="I371">
        <v>2.1</v>
      </c>
      <c r="J371">
        <v>21</v>
      </c>
      <c r="K371">
        <f t="shared" ca="1" si="354"/>
        <v>1134</v>
      </c>
      <c r="M371">
        <f t="shared" ca="1" si="355"/>
        <v>1134</v>
      </c>
      <c r="N371" t="str">
        <f t="shared" si="356"/>
        <v>Excellent</v>
      </c>
      <c r="O371" t="e">
        <f t="shared" si="357"/>
        <v>#N/A</v>
      </c>
      <c r="P371" t="str">
        <f t="shared" si="358"/>
        <v>YES</v>
      </c>
      <c r="Q371">
        <f t="shared" si="325"/>
        <v>598720</v>
      </c>
      <c r="R371" t="str">
        <f t="shared" si="359"/>
        <v>2022-2023</v>
      </c>
    </row>
    <row r="372" spans="1:18" x14ac:dyDescent="0.25">
      <c r="A372" t="s">
        <v>939</v>
      </c>
      <c r="B372" t="s">
        <v>940</v>
      </c>
      <c r="C372" t="s">
        <v>8</v>
      </c>
      <c r="D372" t="s">
        <v>25</v>
      </c>
      <c r="E372" t="s">
        <v>941</v>
      </c>
      <c r="F372" t="s">
        <v>5</v>
      </c>
      <c r="G372">
        <v>14842</v>
      </c>
      <c r="H372">
        <v>8209</v>
      </c>
      <c r="I372">
        <v>3.53</v>
      </c>
      <c r="J372">
        <v>5</v>
      </c>
      <c r="K372">
        <f t="shared" ca="1" si="354"/>
        <v>1010</v>
      </c>
      <c r="M372">
        <f t="shared" ca="1" si="355"/>
        <v>1010</v>
      </c>
      <c r="N372" t="str">
        <f t="shared" si="356"/>
        <v>Excellent</v>
      </c>
      <c r="O372" t="e">
        <f t="shared" si="357"/>
        <v>#N/A</v>
      </c>
      <c r="P372" t="str">
        <f t="shared" si="358"/>
        <v>YES</v>
      </c>
      <c r="Q372">
        <f t="shared" si="325"/>
        <v>598720</v>
      </c>
      <c r="R372" t="str">
        <f t="shared" si="359"/>
        <v>2021-2022</v>
      </c>
    </row>
    <row r="373" spans="1:18" hidden="1" x14ac:dyDescent="0.25">
      <c r="A373" t="s">
        <v>942</v>
      </c>
      <c r="B373" t="s">
        <v>943</v>
      </c>
      <c r="C373" t="s">
        <v>2</v>
      </c>
      <c r="D373" t="s">
        <v>25</v>
      </c>
      <c r="E373" t="s">
        <v>149</v>
      </c>
      <c r="F373" t="s">
        <v>11</v>
      </c>
      <c r="G373">
        <v>4085</v>
      </c>
      <c r="H373">
        <v>7274</v>
      </c>
      <c r="I373">
        <v>3.68</v>
      </c>
      <c r="J373">
        <v>118</v>
      </c>
      <c r="Q373">
        <f t="shared" si="325"/>
        <v>598720</v>
      </c>
    </row>
    <row r="374" spans="1:18" hidden="1" x14ac:dyDescent="0.25">
      <c r="A374" t="s">
        <v>944</v>
      </c>
      <c r="B374" t="s">
        <v>945</v>
      </c>
      <c r="C374" t="s">
        <v>2</v>
      </c>
      <c r="D374" t="s">
        <v>65</v>
      </c>
      <c r="E374" t="s">
        <v>946</v>
      </c>
      <c r="F374" t="s">
        <v>36</v>
      </c>
      <c r="G374">
        <v>10083</v>
      </c>
      <c r="H374">
        <v>7627</v>
      </c>
      <c r="I374">
        <v>3.65</v>
      </c>
      <c r="J374">
        <v>51</v>
      </c>
      <c r="Q374">
        <f t="shared" si="325"/>
        <v>598720</v>
      </c>
    </row>
    <row r="375" spans="1:18" x14ac:dyDescent="0.25">
      <c r="A375" t="s">
        <v>947</v>
      </c>
      <c r="B375" t="s">
        <v>948</v>
      </c>
      <c r="C375" t="s">
        <v>21</v>
      </c>
      <c r="D375" t="s">
        <v>25</v>
      </c>
      <c r="E375" t="s">
        <v>949</v>
      </c>
      <c r="F375" t="s">
        <v>5</v>
      </c>
      <c r="G375">
        <v>7207</v>
      </c>
      <c r="H375">
        <v>849</v>
      </c>
      <c r="I375">
        <v>2.7</v>
      </c>
      <c r="J375">
        <v>13</v>
      </c>
      <c r="K375">
        <f t="shared" ref="K375" ca="1" si="360">IF(F375="Enrolled", TODAY()-E375, "")</f>
        <v>1149</v>
      </c>
      <c r="M375">
        <f ca="1">IF(F375="Enrolled",TODAY() - E375,"")</f>
        <v>1149</v>
      </c>
      <c r="N375" t="str">
        <f>IF(I377&gt;=3.5,"Excellent",IF(I377&gt;=3,"Good",IF(I377&gt;=2,"Average","Poor")))</f>
        <v>Good</v>
      </c>
      <c r="O375" t="e">
        <f>VLOOKUP(D375, $T$18:$U$23, 2, FALSE)</f>
        <v>#N/A</v>
      </c>
      <c r="P375" t="str">
        <f t="shared" ref="P375" si="361">IF(H375 &gt; 0.5 * G375, "YES", "NO")</f>
        <v>NO</v>
      </c>
      <c r="Q375">
        <f t="shared" si="325"/>
        <v>598720</v>
      </c>
      <c r="R375" t="str">
        <f>IF(MONTH(E369)&gt;=6, YEAR(E369) &amp; "-" &amp; YEAR(E369)+1, YEAR(E369)-1 &amp; "-" &amp; YEAR(E369))</f>
        <v>2023-2024</v>
      </c>
    </row>
    <row r="376" spans="1:18" hidden="1" x14ac:dyDescent="0.25">
      <c r="A376" t="s">
        <v>950</v>
      </c>
      <c r="B376" t="s">
        <v>951</v>
      </c>
      <c r="C376" t="s">
        <v>55</v>
      </c>
      <c r="D376" t="s">
        <v>9</v>
      </c>
      <c r="E376" t="s">
        <v>929</v>
      </c>
      <c r="F376" t="s">
        <v>11</v>
      </c>
      <c r="G376">
        <v>5212</v>
      </c>
      <c r="H376">
        <v>8077</v>
      </c>
      <c r="I376">
        <v>3.84</v>
      </c>
      <c r="J376">
        <v>107</v>
      </c>
      <c r="Q376">
        <f t="shared" si="325"/>
        <v>598720</v>
      </c>
    </row>
    <row r="377" spans="1:18" x14ac:dyDescent="0.25">
      <c r="A377" t="s">
        <v>952</v>
      </c>
      <c r="B377" t="s">
        <v>953</v>
      </c>
      <c r="C377" t="s">
        <v>2</v>
      </c>
      <c r="D377" t="s">
        <v>25</v>
      </c>
      <c r="E377" s="1">
        <v>44837</v>
      </c>
      <c r="F377" t="s">
        <v>5</v>
      </c>
      <c r="G377">
        <v>9737</v>
      </c>
      <c r="H377">
        <v>4257</v>
      </c>
      <c r="I377">
        <v>3.43</v>
      </c>
      <c r="J377">
        <v>47</v>
      </c>
      <c r="K377">
        <f t="shared" ref="K377" ca="1" si="362">IF(F377="Enrolled", TODAY()-E377, "")</f>
        <v>1130</v>
      </c>
      <c r="M377">
        <f ca="1">IF(F377="Enrolled",TODAY() - E377,"")</f>
        <v>1130</v>
      </c>
      <c r="N377" t="str">
        <f>IF(I379&gt;=3.5,"Excellent",IF(I379&gt;=3,"Good",IF(I379&gt;=2,"Average","Poor")))</f>
        <v>Excellent</v>
      </c>
      <c r="O377" t="e">
        <f>VLOOKUP(D377, $T$18:$U$23, 2, FALSE)</f>
        <v>#N/A</v>
      </c>
      <c r="P377" t="str">
        <f t="shared" ref="P377" si="363">IF(H377 &gt; 0.5 * G377, "YES", "NO")</f>
        <v>NO</v>
      </c>
      <c r="Q377">
        <f t="shared" si="325"/>
        <v>593508</v>
      </c>
      <c r="R377" t="str">
        <f>IF(MONTH(E371)&gt;=6, YEAR(E371) &amp; "-" &amp; YEAR(E371)+1, YEAR(E371)-1 &amp; "-" &amp; YEAR(E371))</f>
        <v>2022-2023</v>
      </c>
    </row>
    <row r="378" spans="1:18" hidden="1" x14ac:dyDescent="0.25">
      <c r="A378" t="s">
        <v>954</v>
      </c>
      <c r="B378" t="s">
        <v>955</v>
      </c>
      <c r="C378" t="s">
        <v>32</v>
      </c>
      <c r="D378" t="s">
        <v>65</v>
      </c>
      <c r="E378" t="s">
        <v>818</v>
      </c>
      <c r="F378" t="s">
        <v>36</v>
      </c>
      <c r="G378">
        <v>3123</v>
      </c>
      <c r="H378">
        <v>5542</v>
      </c>
      <c r="I378">
        <v>3.82</v>
      </c>
      <c r="J378">
        <v>48</v>
      </c>
      <c r="Q378">
        <f t="shared" si="325"/>
        <v>593508</v>
      </c>
    </row>
    <row r="379" spans="1:18" x14ac:dyDescent="0.25">
      <c r="A379" t="s">
        <v>956</v>
      </c>
      <c r="B379" t="s">
        <v>957</v>
      </c>
      <c r="C379" t="s">
        <v>58</v>
      </c>
      <c r="D379" t="s">
        <v>3</v>
      </c>
      <c r="E379" t="s">
        <v>958</v>
      </c>
      <c r="F379" t="s">
        <v>5</v>
      </c>
      <c r="G379">
        <v>2497</v>
      </c>
      <c r="H379">
        <v>7768</v>
      </c>
      <c r="I379">
        <v>3.66</v>
      </c>
      <c r="J379">
        <v>56</v>
      </c>
      <c r="K379">
        <f t="shared" ref="K379" ca="1" si="364">IF(F379="Enrolled", TODAY()-E379, "")</f>
        <v>845</v>
      </c>
      <c r="M379">
        <f ca="1">IF(F379="Enrolled",TODAY() - E379,"")</f>
        <v>845</v>
      </c>
      <c r="N379" t="str">
        <f>IF(I381&gt;=3.5,"Excellent",IF(I381&gt;=3,"Good",IF(I381&gt;=2,"Average","Poor")))</f>
        <v>Good</v>
      </c>
      <c r="O379" t="e">
        <f>VLOOKUP(D379, $T$18:$U$23, 2, FALSE)</f>
        <v>#N/A</v>
      </c>
      <c r="P379" t="str">
        <f t="shared" ref="P379" si="365">IF(H379 &gt; 0.5 * G379, "YES", "NO")</f>
        <v>YES</v>
      </c>
      <c r="Q379">
        <f t="shared" si="325"/>
        <v>593508</v>
      </c>
      <c r="R379" t="str">
        <f>IF(MONTH(E373)&gt;=6, YEAR(E373) &amp; "-" &amp; YEAR(E373)+1, YEAR(E373)-1 &amp; "-" &amp; YEAR(E373))</f>
        <v>2021-2022</v>
      </c>
    </row>
    <row r="380" spans="1:18" hidden="1" x14ac:dyDescent="0.25">
      <c r="A380" t="s">
        <v>959</v>
      </c>
      <c r="B380" t="s">
        <v>960</v>
      </c>
      <c r="C380" t="s">
        <v>8</v>
      </c>
      <c r="D380" t="s">
        <v>9</v>
      </c>
      <c r="E380" s="1">
        <v>45571</v>
      </c>
      <c r="F380" t="s">
        <v>11</v>
      </c>
      <c r="G380">
        <v>13114</v>
      </c>
      <c r="H380">
        <v>5020</v>
      </c>
      <c r="I380">
        <v>2.78</v>
      </c>
      <c r="J380">
        <v>67</v>
      </c>
      <c r="Q380">
        <f t="shared" si="325"/>
        <v>593508</v>
      </c>
    </row>
    <row r="381" spans="1:18" x14ac:dyDescent="0.25">
      <c r="A381" t="s">
        <v>961</v>
      </c>
      <c r="B381" t="s">
        <v>962</v>
      </c>
      <c r="C381" t="s">
        <v>58</v>
      </c>
      <c r="D381" t="s">
        <v>65</v>
      </c>
      <c r="E381" t="s">
        <v>837</v>
      </c>
      <c r="F381" t="s">
        <v>5</v>
      </c>
      <c r="G381">
        <v>12549</v>
      </c>
      <c r="H381">
        <v>5639</v>
      </c>
      <c r="I381">
        <v>3.36</v>
      </c>
      <c r="J381">
        <v>38</v>
      </c>
      <c r="K381">
        <f t="shared" ref="K381:K382" ca="1" si="366">IF(F381="Enrolled", TODAY()-E381, "")</f>
        <v>1327</v>
      </c>
      <c r="M381">
        <f t="shared" ref="M381:M382" ca="1" si="367">IF(F381="Enrolled",TODAY() - E381,"")</f>
        <v>1327</v>
      </c>
      <c r="N381" t="str">
        <f t="shared" ref="N381:N382" si="368">IF(I383&gt;=3.5,"Excellent",IF(I383&gt;=3,"Good",IF(I383&gt;=2,"Average","Poor")))</f>
        <v>Excellent</v>
      </c>
      <c r="O381" t="e">
        <f t="shared" ref="O381:O382" si="369">VLOOKUP(D381, $T$18:$U$23, 2, FALSE)</f>
        <v>#N/A</v>
      </c>
      <c r="P381" t="str">
        <f t="shared" ref="P381:P382" si="370">IF(H381 &gt; 0.5 * G381, "YES", "NO")</f>
        <v>NO</v>
      </c>
      <c r="Q381">
        <f t="shared" si="325"/>
        <v>580394</v>
      </c>
      <c r="R381" t="str">
        <f t="shared" ref="R381:R382" si="371">IF(MONTH(E375)&gt;=6, YEAR(E375) &amp; "-" &amp; YEAR(E375)+1, YEAR(E375)-1 &amp; "-" &amp; YEAR(E375))</f>
        <v>2022-2023</v>
      </c>
    </row>
    <row r="382" spans="1:18" x14ac:dyDescent="0.25">
      <c r="A382" t="s">
        <v>963</v>
      </c>
      <c r="B382" t="s">
        <v>964</v>
      </c>
      <c r="C382" t="s">
        <v>2</v>
      </c>
      <c r="D382" t="s">
        <v>25</v>
      </c>
      <c r="E382" t="s">
        <v>189</v>
      </c>
      <c r="F382" t="s">
        <v>5</v>
      </c>
      <c r="G382">
        <v>11461</v>
      </c>
      <c r="H382">
        <v>6852</v>
      </c>
      <c r="I382">
        <v>2.88</v>
      </c>
      <c r="J382">
        <v>73</v>
      </c>
      <c r="K382">
        <f t="shared" ca="1" si="366"/>
        <v>906</v>
      </c>
      <c r="M382">
        <f t="shared" ca="1" si="367"/>
        <v>906</v>
      </c>
      <c r="N382" t="str">
        <f t="shared" si="368"/>
        <v>Average</v>
      </c>
      <c r="O382" t="e">
        <f t="shared" si="369"/>
        <v>#N/A</v>
      </c>
      <c r="P382" t="str">
        <f t="shared" si="370"/>
        <v>YES</v>
      </c>
      <c r="Q382">
        <f t="shared" si="325"/>
        <v>580394</v>
      </c>
      <c r="R382" t="str">
        <f t="shared" si="371"/>
        <v>2022-2023</v>
      </c>
    </row>
    <row r="383" spans="1:18" hidden="1" x14ac:dyDescent="0.25">
      <c r="A383" t="s">
        <v>965</v>
      </c>
      <c r="B383" t="s">
        <v>966</v>
      </c>
      <c r="C383" t="s">
        <v>2</v>
      </c>
      <c r="D383" t="s">
        <v>25</v>
      </c>
      <c r="E383" t="s">
        <v>793</v>
      </c>
      <c r="F383" t="s">
        <v>36</v>
      </c>
      <c r="G383">
        <v>13551</v>
      </c>
      <c r="H383">
        <v>1986</v>
      </c>
      <c r="I383">
        <v>3.86</v>
      </c>
      <c r="J383">
        <v>5</v>
      </c>
      <c r="Q383">
        <f t="shared" si="325"/>
        <v>580394</v>
      </c>
    </row>
    <row r="384" spans="1:18" hidden="1" x14ac:dyDescent="0.25">
      <c r="A384" t="s">
        <v>967</v>
      </c>
      <c r="B384" t="s">
        <v>968</v>
      </c>
      <c r="C384" t="s">
        <v>14</v>
      </c>
      <c r="D384" t="s">
        <v>3</v>
      </c>
      <c r="E384" s="1">
        <v>45201</v>
      </c>
      <c r="F384" t="s">
        <v>36</v>
      </c>
      <c r="G384">
        <v>13139</v>
      </c>
      <c r="H384">
        <v>2798</v>
      </c>
      <c r="I384">
        <v>2.63</v>
      </c>
      <c r="J384">
        <v>119</v>
      </c>
      <c r="Q384">
        <f t="shared" si="325"/>
        <v>580394</v>
      </c>
    </row>
    <row r="385" spans="1:18" x14ac:dyDescent="0.25">
      <c r="A385" t="s">
        <v>969</v>
      </c>
      <c r="B385" t="s">
        <v>970</v>
      </c>
      <c r="C385" t="s">
        <v>32</v>
      </c>
      <c r="D385" t="s">
        <v>3</v>
      </c>
      <c r="E385" t="s">
        <v>537</v>
      </c>
      <c r="F385" t="s">
        <v>5</v>
      </c>
      <c r="G385">
        <v>4092</v>
      </c>
      <c r="H385">
        <v>8499</v>
      </c>
      <c r="I385">
        <v>3.48</v>
      </c>
      <c r="J385">
        <v>69</v>
      </c>
      <c r="K385">
        <f t="shared" ref="K385" ca="1" si="372">IF(F385="Enrolled", TODAY()-E385, "")</f>
        <v>804</v>
      </c>
      <c r="M385">
        <f ca="1">IF(F385="Enrolled",TODAY() - E385,"")</f>
        <v>804</v>
      </c>
      <c r="N385" t="str">
        <f>IF(I387&gt;=3.5,"Excellent",IF(I387&gt;=3,"Good",IF(I387&gt;=2,"Average","Poor")))</f>
        <v>Average</v>
      </c>
      <c r="O385" t="e">
        <f>VLOOKUP(D385, $T$18:$U$23, 2, FALSE)</f>
        <v>#N/A</v>
      </c>
      <c r="P385" t="str">
        <f t="shared" ref="P385" si="373">IF(H385 &gt; 0.5 * G385, "YES", "NO")</f>
        <v>YES</v>
      </c>
      <c r="Q385">
        <f t="shared" si="325"/>
        <v>580394</v>
      </c>
      <c r="R385" t="str">
        <f>IF(MONTH(E379)&gt;=6, YEAR(E379) &amp; "-" &amp; YEAR(E379)+1, YEAR(E379)-1 &amp; "-" &amp; YEAR(E379))</f>
        <v>2023-2024</v>
      </c>
    </row>
    <row r="386" spans="1:18" hidden="1" x14ac:dyDescent="0.25">
      <c r="A386" t="s">
        <v>971</v>
      </c>
      <c r="B386" t="s">
        <v>972</v>
      </c>
      <c r="C386" t="s">
        <v>21</v>
      </c>
      <c r="D386" t="s">
        <v>65</v>
      </c>
      <c r="E386" t="s">
        <v>973</v>
      </c>
      <c r="F386" t="s">
        <v>11</v>
      </c>
      <c r="G386">
        <v>2153</v>
      </c>
      <c r="H386">
        <v>7439</v>
      </c>
      <c r="I386">
        <v>3.76</v>
      </c>
      <c r="J386">
        <v>30</v>
      </c>
      <c r="Q386">
        <f t="shared" si="325"/>
        <v>580394</v>
      </c>
    </row>
    <row r="387" spans="1:18" x14ac:dyDescent="0.25">
      <c r="A387" t="s">
        <v>974</v>
      </c>
      <c r="B387" t="s">
        <v>975</v>
      </c>
      <c r="C387" t="s">
        <v>32</v>
      </c>
      <c r="D387" t="s">
        <v>25</v>
      </c>
      <c r="E387" t="s">
        <v>976</v>
      </c>
      <c r="F387" t="s">
        <v>5</v>
      </c>
      <c r="G387">
        <v>8339</v>
      </c>
      <c r="H387">
        <v>9829</v>
      </c>
      <c r="I387">
        <v>2.34</v>
      </c>
      <c r="J387">
        <v>116</v>
      </c>
      <c r="K387">
        <f t="shared" ref="K387:K391" ca="1" si="374">IF(F387="Enrolled", TODAY()-E387, "")</f>
        <v>1291</v>
      </c>
      <c r="M387">
        <f t="shared" ref="M387:M391" ca="1" si="375">IF(F387="Enrolled",TODAY() - E387,"")</f>
        <v>1291</v>
      </c>
      <c r="N387" t="str">
        <f t="shared" ref="N387:N391" si="376">IF(I389&gt;=3.5,"Excellent",IF(I389&gt;=3,"Good",IF(I389&gt;=2,"Average","Poor")))</f>
        <v>Excellent</v>
      </c>
      <c r="O387" t="e">
        <f t="shared" ref="O387:O391" si="377">VLOOKUP(D387, $T$18:$U$23, 2, FALSE)</f>
        <v>#N/A</v>
      </c>
      <c r="P387" t="str">
        <f t="shared" ref="P387:P391" si="378">IF(H387 &gt; 0.5 * G387, "YES", "NO")</f>
        <v>YES</v>
      </c>
      <c r="Q387">
        <f t="shared" si="325"/>
        <v>580394</v>
      </c>
      <c r="R387" t="str">
        <f t="shared" ref="R387:R391" si="379">IF(MONTH(E381)&gt;=6, YEAR(E381) &amp; "-" &amp; YEAR(E381)+1, YEAR(E381)-1 &amp; "-" &amp; YEAR(E381))</f>
        <v>2021-2022</v>
      </c>
    </row>
    <row r="388" spans="1:18" x14ac:dyDescent="0.25">
      <c r="A388" t="s">
        <v>977</v>
      </c>
      <c r="B388" t="s">
        <v>978</v>
      </c>
      <c r="C388" t="s">
        <v>55</v>
      </c>
      <c r="D388" t="s">
        <v>3</v>
      </c>
      <c r="E388" s="1">
        <v>44807</v>
      </c>
      <c r="F388" t="s">
        <v>5</v>
      </c>
      <c r="G388">
        <v>11121</v>
      </c>
      <c r="H388">
        <v>2183</v>
      </c>
      <c r="I388">
        <v>2.99</v>
      </c>
      <c r="J388">
        <v>42</v>
      </c>
      <c r="K388">
        <f t="shared" ca="1" si="374"/>
        <v>1160</v>
      </c>
      <c r="M388">
        <f t="shared" ca="1" si="375"/>
        <v>1160</v>
      </c>
      <c r="N388" t="str">
        <f t="shared" si="376"/>
        <v>Average</v>
      </c>
      <c r="O388" t="e">
        <f t="shared" si="377"/>
        <v>#N/A</v>
      </c>
      <c r="P388" t="str">
        <f t="shared" si="378"/>
        <v>NO</v>
      </c>
      <c r="Q388">
        <f t="shared" si="325"/>
        <v>580394</v>
      </c>
      <c r="R388" t="str">
        <f t="shared" si="379"/>
        <v>2022-2023</v>
      </c>
    </row>
    <row r="389" spans="1:18" x14ac:dyDescent="0.25">
      <c r="A389" t="s">
        <v>979</v>
      </c>
      <c r="B389" t="s">
        <v>980</v>
      </c>
      <c r="C389" t="s">
        <v>58</v>
      </c>
      <c r="D389" t="s">
        <v>25</v>
      </c>
      <c r="E389" t="s">
        <v>981</v>
      </c>
      <c r="F389" t="s">
        <v>5</v>
      </c>
      <c r="G389">
        <v>7432</v>
      </c>
      <c r="H389">
        <v>7205</v>
      </c>
      <c r="I389">
        <v>3.64</v>
      </c>
      <c r="J389">
        <v>8</v>
      </c>
      <c r="K389">
        <f t="shared" ca="1" si="374"/>
        <v>1226</v>
      </c>
      <c r="M389">
        <f t="shared" ca="1" si="375"/>
        <v>1226</v>
      </c>
      <c r="N389" t="str">
        <f t="shared" si="376"/>
        <v>Average</v>
      </c>
      <c r="O389" t="e">
        <f t="shared" si="377"/>
        <v>#N/A</v>
      </c>
      <c r="P389" t="str">
        <f t="shared" si="378"/>
        <v>YES</v>
      </c>
      <c r="Q389">
        <f t="shared" si="325"/>
        <v>580394</v>
      </c>
      <c r="R389" t="str">
        <f t="shared" si="379"/>
        <v>2022-2023</v>
      </c>
    </row>
    <row r="390" spans="1:18" x14ac:dyDescent="0.25">
      <c r="A390" t="s">
        <v>982</v>
      </c>
      <c r="B390" t="s">
        <v>983</v>
      </c>
      <c r="C390" t="s">
        <v>32</v>
      </c>
      <c r="D390" t="s">
        <v>65</v>
      </c>
      <c r="E390" s="1">
        <v>44784</v>
      </c>
      <c r="F390" t="s">
        <v>5</v>
      </c>
      <c r="G390">
        <v>3537</v>
      </c>
      <c r="H390">
        <v>1875</v>
      </c>
      <c r="I390">
        <v>2.87</v>
      </c>
      <c r="J390">
        <v>19</v>
      </c>
      <c r="K390">
        <f t="shared" ca="1" si="374"/>
        <v>1183</v>
      </c>
      <c r="M390">
        <f t="shared" ca="1" si="375"/>
        <v>1183</v>
      </c>
      <c r="N390" t="str">
        <f t="shared" si="376"/>
        <v>Average</v>
      </c>
      <c r="O390" t="e">
        <f t="shared" si="377"/>
        <v>#N/A</v>
      </c>
      <c r="P390" t="str">
        <f t="shared" si="378"/>
        <v>YES</v>
      </c>
      <c r="Q390">
        <f t="shared" si="325"/>
        <v>580394</v>
      </c>
      <c r="R390" t="str">
        <f t="shared" si="379"/>
        <v>2023-2024</v>
      </c>
    </row>
    <row r="391" spans="1:18" x14ac:dyDescent="0.25">
      <c r="A391" t="s">
        <v>984</v>
      </c>
      <c r="B391" t="s">
        <v>985</v>
      </c>
      <c r="C391" t="s">
        <v>21</v>
      </c>
      <c r="D391" t="s">
        <v>25</v>
      </c>
      <c r="E391" t="s">
        <v>457</v>
      </c>
      <c r="F391" t="s">
        <v>5</v>
      </c>
      <c r="G391">
        <v>9228</v>
      </c>
      <c r="H391">
        <v>1359</v>
      </c>
      <c r="I391">
        <v>2.4</v>
      </c>
      <c r="J391">
        <v>81</v>
      </c>
      <c r="K391">
        <f t="shared" ca="1" si="374"/>
        <v>1299</v>
      </c>
      <c r="M391">
        <f t="shared" ca="1" si="375"/>
        <v>1299</v>
      </c>
      <c r="N391" t="str">
        <f t="shared" si="376"/>
        <v>Average</v>
      </c>
      <c r="O391" t="e">
        <f t="shared" si="377"/>
        <v>#N/A</v>
      </c>
      <c r="P391" t="str">
        <f t="shared" si="378"/>
        <v>NO</v>
      </c>
      <c r="Q391">
        <f t="shared" si="325"/>
        <v>580394</v>
      </c>
      <c r="R391" t="str">
        <f t="shared" si="379"/>
        <v>2023-2024</v>
      </c>
    </row>
    <row r="392" spans="1:18" hidden="1" x14ac:dyDescent="0.25">
      <c r="A392" t="s">
        <v>986</v>
      </c>
      <c r="B392" t="s">
        <v>987</v>
      </c>
      <c r="C392" t="s">
        <v>32</v>
      </c>
      <c r="D392" t="s">
        <v>3</v>
      </c>
      <c r="E392" t="s">
        <v>988</v>
      </c>
      <c r="F392" t="s">
        <v>11</v>
      </c>
      <c r="G392">
        <v>13877</v>
      </c>
      <c r="H392">
        <v>6447</v>
      </c>
      <c r="I392">
        <v>2.34</v>
      </c>
      <c r="J392">
        <v>69</v>
      </c>
      <c r="Q392">
        <f t="shared" si="325"/>
        <v>580394</v>
      </c>
    </row>
    <row r="393" spans="1:18" x14ac:dyDescent="0.25">
      <c r="A393" t="s">
        <v>989</v>
      </c>
      <c r="B393" t="s">
        <v>990</v>
      </c>
      <c r="C393" t="s">
        <v>32</v>
      </c>
      <c r="D393" t="s">
        <v>9</v>
      </c>
      <c r="E393" s="1">
        <v>45053</v>
      </c>
      <c r="F393" t="s">
        <v>5</v>
      </c>
      <c r="G393">
        <v>10582</v>
      </c>
      <c r="H393">
        <v>7243</v>
      </c>
      <c r="I393">
        <v>2.41</v>
      </c>
      <c r="J393">
        <v>10</v>
      </c>
      <c r="K393">
        <f t="shared" ref="K393:K397" ca="1" si="380">IF(F393="Enrolled", TODAY()-E393, "")</f>
        <v>914</v>
      </c>
      <c r="M393">
        <f t="shared" ref="M393:M397" ca="1" si="381">IF(F393="Enrolled",TODAY() - E393,"")</f>
        <v>914</v>
      </c>
      <c r="N393" t="str">
        <f t="shared" ref="N393:N397" si="382">IF(I395&gt;=3.5,"Excellent",IF(I395&gt;=3,"Good",IF(I395&gt;=2,"Average","Poor")))</f>
        <v>Good</v>
      </c>
      <c r="O393" t="e">
        <f t="shared" ref="O393:O397" si="383">VLOOKUP(D393, $T$18:$U$23, 2, FALSE)</f>
        <v>#N/A</v>
      </c>
      <c r="P393" t="str">
        <f t="shared" ref="P393:P397" si="384">IF(H393 &gt; 0.5 * G393, "YES", "NO")</f>
        <v>YES</v>
      </c>
      <c r="Q393">
        <f t="shared" si="325"/>
        <v>580394</v>
      </c>
      <c r="R393" t="str">
        <f t="shared" ref="R393:R397" si="385">IF(MONTH(E387)&gt;=6, YEAR(E387) &amp; "-" &amp; YEAR(E387)+1, YEAR(E387)-1 &amp; "-" &amp; YEAR(E387))</f>
        <v>2021-2022</v>
      </c>
    </row>
    <row r="394" spans="1:18" x14ac:dyDescent="0.25">
      <c r="A394" t="s">
        <v>991</v>
      </c>
      <c r="B394" t="s">
        <v>992</v>
      </c>
      <c r="C394" t="s">
        <v>58</v>
      </c>
      <c r="D394" t="s">
        <v>3</v>
      </c>
      <c r="E394" s="1">
        <v>45324</v>
      </c>
      <c r="F394" t="s">
        <v>5</v>
      </c>
      <c r="G394">
        <v>11913</v>
      </c>
      <c r="H394">
        <v>1193</v>
      </c>
      <c r="I394">
        <v>3.95</v>
      </c>
      <c r="J394">
        <v>92</v>
      </c>
      <c r="K394">
        <f t="shared" ca="1" si="380"/>
        <v>643</v>
      </c>
      <c r="M394">
        <f t="shared" ca="1" si="381"/>
        <v>643</v>
      </c>
      <c r="N394" t="str">
        <f t="shared" si="382"/>
        <v>Excellent</v>
      </c>
      <c r="O394" t="e">
        <f t="shared" si="383"/>
        <v>#N/A</v>
      </c>
      <c r="P394" t="str">
        <f t="shared" si="384"/>
        <v>NO</v>
      </c>
      <c r="Q394">
        <f t="shared" si="325"/>
        <v>580394</v>
      </c>
      <c r="R394" t="str">
        <f t="shared" si="385"/>
        <v>2022-2023</v>
      </c>
    </row>
    <row r="395" spans="1:18" x14ac:dyDescent="0.25">
      <c r="A395" t="s">
        <v>993</v>
      </c>
      <c r="B395" t="s">
        <v>994</v>
      </c>
      <c r="C395" t="s">
        <v>8</v>
      </c>
      <c r="D395" t="s">
        <v>65</v>
      </c>
      <c r="E395" t="s">
        <v>186</v>
      </c>
      <c r="F395" t="s">
        <v>5</v>
      </c>
      <c r="G395">
        <v>4298</v>
      </c>
      <c r="H395">
        <v>6092</v>
      </c>
      <c r="I395">
        <v>3.4</v>
      </c>
      <c r="J395">
        <v>5</v>
      </c>
      <c r="K395">
        <f t="shared" ca="1" si="380"/>
        <v>865</v>
      </c>
      <c r="M395">
        <f t="shared" ca="1" si="381"/>
        <v>865</v>
      </c>
      <c r="N395" t="str">
        <f t="shared" si="382"/>
        <v>Good</v>
      </c>
      <c r="O395" t="e">
        <f t="shared" si="383"/>
        <v>#N/A</v>
      </c>
      <c r="P395" t="str">
        <f t="shared" si="384"/>
        <v>YES</v>
      </c>
      <c r="Q395">
        <f t="shared" si="325"/>
        <v>580394</v>
      </c>
      <c r="R395" t="str">
        <f t="shared" si="385"/>
        <v>2022-2023</v>
      </c>
    </row>
    <row r="396" spans="1:18" x14ac:dyDescent="0.25">
      <c r="A396" t="s">
        <v>995</v>
      </c>
      <c r="B396" t="s">
        <v>996</v>
      </c>
      <c r="C396" t="s">
        <v>58</v>
      </c>
      <c r="D396" t="s">
        <v>3</v>
      </c>
      <c r="E396" t="s">
        <v>997</v>
      </c>
      <c r="F396" t="s">
        <v>5</v>
      </c>
      <c r="G396">
        <v>4756</v>
      </c>
      <c r="H396">
        <v>7006</v>
      </c>
      <c r="I396">
        <v>3.99</v>
      </c>
      <c r="J396">
        <v>105</v>
      </c>
      <c r="K396">
        <f t="shared" ca="1" si="380"/>
        <v>1391</v>
      </c>
      <c r="M396">
        <f t="shared" ca="1" si="381"/>
        <v>1391</v>
      </c>
      <c r="N396" t="str">
        <f t="shared" si="382"/>
        <v>Good</v>
      </c>
      <c r="O396" t="e">
        <f t="shared" si="383"/>
        <v>#N/A</v>
      </c>
      <c r="P396" t="str">
        <f t="shared" si="384"/>
        <v>YES</v>
      </c>
      <c r="Q396">
        <f t="shared" si="325"/>
        <v>580394</v>
      </c>
      <c r="R396" t="str">
        <f t="shared" si="385"/>
        <v>2022-2023</v>
      </c>
    </row>
    <row r="397" spans="1:18" x14ac:dyDescent="0.25">
      <c r="A397" t="s">
        <v>998</v>
      </c>
      <c r="B397" t="s">
        <v>999</v>
      </c>
      <c r="C397" t="s">
        <v>32</v>
      </c>
      <c r="D397" t="s">
        <v>3</v>
      </c>
      <c r="E397" t="s">
        <v>1000</v>
      </c>
      <c r="F397" t="s">
        <v>5</v>
      </c>
      <c r="G397">
        <v>3656</v>
      </c>
      <c r="H397">
        <v>2681</v>
      </c>
      <c r="I397">
        <v>3.13</v>
      </c>
      <c r="J397">
        <v>100</v>
      </c>
      <c r="K397">
        <f t="shared" ca="1" si="380"/>
        <v>1085</v>
      </c>
      <c r="M397">
        <f t="shared" ca="1" si="381"/>
        <v>1085</v>
      </c>
      <c r="N397" t="str">
        <f t="shared" si="382"/>
        <v>Average</v>
      </c>
      <c r="O397" t="e">
        <f t="shared" si="383"/>
        <v>#N/A</v>
      </c>
      <c r="P397" t="str">
        <f t="shared" si="384"/>
        <v>YES</v>
      </c>
      <c r="Q397">
        <f t="shared" ref="Q397:Q460" si="386">SUMIFS(G397:G1595, F397:F1595, "Completed", D397:D1595, "Science")</f>
        <v>580394</v>
      </c>
      <c r="R397" t="str">
        <f t="shared" si="385"/>
        <v>2021-2022</v>
      </c>
    </row>
    <row r="398" spans="1:18" hidden="1" x14ac:dyDescent="0.25">
      <c r="A398" t="s">
        <v>1001</v>
      </c>
      <c r="B398" t="s">
        <v>1002</v>
      </c>
      <c r="C398" t="s">
        <v>55</v>
      </c>
      <c r="D398" t="s">
        <v>65</v>
      </c>
      <c r="E398" s="1">
        <v>44905</v>
      </c>
      <c r="F398" t="s">
        <v>11</v>
      </c>
      <c r="G398">
        <v>10433</v>
      </c>
      <c r="H398">
        <v>4525</v>
      </c>
      <c r="I398">
        <v>3.29</v>
      </c>
      <c r="J398">
        <v>108</v>
      </c>
      <c r="Q398">
        <f t="shared" si="386"/>
        <v>580394</v>
      </c>
    </row>
    <row r="399" spans="1:18" x14ac:dyDescent="0.25">
      <c r="A399" t="s">
        <v>1003</v>
      </c>
      <c r="B399" t="s">
        <v>1004</v>
      </c>
      <c r="C399" t="s">
        <v>2</v>
      </c>
      <c r="D399" t="s">
        <v>65</v>
      </c>
      <c r="E399" t="s">
        <v>874</v>
      </c>
      <c r="F399" t="s">
        <v>5</v>
      </c>
      <c r="G399">
        <v>7176</v>
      </c>
      <c r="H399">
        <v>6289</v>
      </c>
      <c r="I399">
        <v>2.74</v>
      </c>
      <c r="J399">
        <v>8</v>
      </c>
      <c r="K399">
        <f t="shared" ref="K399" ca="1" si="387">IF(F399="Enrolled", TODAY()-E399, "")</f>
        <v>1022</v>
      </c>
      <c r="M399">
        <f ca="1">IF(F399="Enrolled",TODAY() - E399,"")</f>
        <v>1022</v>
      </c>
      <c r="N399" t="str">
        <f>IF(I401&gt;=3.5,"Excellent",IF(I401&gt;=3,"Good",IF(I401&gt;=2,"Average","Poor")))</f>
        <v>Average</v>
      </c>
      <c r="O399" t="e">
        <f>VLOOKUP(D399, $T$18:$U$23, 2, FALSE)</f>
        <v>#N/A</v>
      </c>
      <c r="P399" t="str">
        <f t="shared" ref="P399" si="388">IF(H399 &gt; 0.5 * G399, "YES", "NO")</f>
        <v>YES</v>
      </c>
      <c r="Q399">
        <f t="shared" si="386"/>
        <v>580394</v>
      </c>
      <c r="R399" t="str">
        <f>IF(MONTH(E393)&gt;=6, YEAR(E393) &amp; "-" &amp; YEAR(E393)+1, YEAR(E393)-1 &amp; "-" &amp; YEAR(E393))</f>
        <v>2022-2023</v>
      </c>
    </row>
    <row r="400" spans="1:18" hidden="1" x14ac:dyDescent="0.25">
      <c r="A400" t="s">
        <v>1005</v>
      </c>
      <c r="B400" t="s">
        <v>1006</v>
      </c>
      <c r="C400" t="s">
        <v>2</v>
      </c>
      <c r="D400" t="s">
        <v>25</v>
      </c>
      <c r="E400" s="1">
        <v>45209</v>
      </c>
      <c r="F400" t="s">
        <v>11</v>
      </c>
      <c r="G400">
        <v>4923</v>
      </c>
      <c r="H400">
        <v>4054</v>
      </c>
      <c r="I400">
        <v>2.95</v>
      </c>
      <c r="J400">
        <v>47</v>
      </c>
      <c r="Q400">
        <f t="shared" si="386"/>
        <v>580394</v>
      </c>
    </row>
    <row r="401" spans="1:18" x14ac:dyDescent="0.25">
      <c r="A401" t="s">
        <v>1007</v>
      </c>
      <c r="B401" t="s">
        <v>1008</v>
      </c>
      <c r="C401" t="s">
        <v>17</v>
      </c>
      <c r="D401" t="s">
        <v>9</v>
      </c>
      <c r="E401" t="s">
        <v>1009</v>
      </c>
      <c r="F401" t="s">
        <v>5</v>
      </c>
      <c r="G401">
        <v>11530</v>
      </c>
      <c r="H401">
        <v>8184</v>
      </c>
      <c r="I401">
        <v>2.92</v>
      </c>
      <c r="J401">
        <v>39</v>
      </c>
      <c r="K401">
        <f t="shared" ref="K401:K403" ca="1" si="389">IF(F401="Enrolled", TODAY()-E401, "")</f>
        <v>798</v>
      </c>
      <c r="M401">
        <f t="shared" ref="M401:M403" ca="1" si="390">IF(F401="Enrolled",TODAY() - E401,"")</f>
        <v>798</v>
      </c>
      <c r="N401" t="str">
        <f t="shared" ref="N401:N403" si="391">IF(I403&gt;=3.5,"Excellent",IF(I403&gt;=3,"Good",IF(I403&gt;=2,"Average","Poor")))</f>
        <v>Average</v>
      </c>
      <c r="O401" t="e">
        <f t="shared" ref="O401:O403" si="392">VLOOKUP(D401, $T$18:$U$23, 2, FALSE)</f>
        <v>#N/A</v>
      </c>
      <c r="P401" t="str">
        <f t="shared" ref="P401:P403" si="393">IF(H401 &gt; 0.5 * G401, "YES", "NO")</f>
        <v>YES</v>
      </c>
      <c r="Q401">
        <f t="shared" si="386"/>
        <v>580394</v>
      </c>
      <c r="R401" t="str">
        <f t="shared" ref="R401:R403" si="394">IF(MONTH(E395)&gt;=6, YEAR(E395) &amp; "-" &amp; YEAR(E395)+1, YEAR(E395)-1 &amp; "-" &amp; YEAR(E395))</f>
        <v>2023-2024</v>
      </c>
    </row>
    <row r="402" spans="1:18" x14ac:dyDescent="0.25">
      <c r="A402" t="s">
        <v>1010</v>
      </c>
      <c r="B402" t="s">
        <v>1011</v>
      </c>
      <c r="C402" t="s">
        <v>32</v>
      </c>
      <c r="D402" t="s">
        <v>9</v>
      </c>
      <c r="E402" t="s">
        <v>1000</v>
      </c>
      <c r="F402" t="s">
        <v>5</v>
      </c>
      <c r="G402">
        <v>8885</v>
      </c>
      <c r="H402">
        <v>7872</v>
      </c>
      <c r="I402">
        <v>3.05</v>
      </c>
      <c r="J402">
        <v>90</v>
      </c>
      <c r="K402">
        <f t="shared" ca="1" si="389"/>
        <v>1085</v>
      </c>
      <c r="M402">
        <f t="shared" ca="1" si="390"/>
        <v>1085</v>
      </c>
      <c r="N402" t="str">
        <f t="shared" si="391"/>
        <v>Good</v>
      </c>
      <c r="O402" t="e">
        <f t="shared" si="392"/>
        <v>#N/A</v>
      </c>
      <c r="P402" t="str">
        <f t="shared" si="393"/>
        <v>YES</v>
      </c>
      <c r="Q402">
        <f t="shared" si="386"/>
        <v>580394</v>
      </c>
      <c r="R402" t="str">
        <f t="shared" si="394"/>
        <v>2021-2022</v>
      </c>
    </row>
    <row r="403" spans="1:18" x14ac:dyDescent="0.25">
      <c r="A403" t="s">
        <v>1012</v>
      </c>
      <c r="B403" t="s">
        <v>1013</v>
      </c>
      <c r="C403" t="s">
        <v>55</v>
      </c>
      <c r="D403" t="s">
        <v>25</v>
      </c>
      <c r="E403" s="1">
        <v>45510</v>
      </c>
      <c r="F403" t="s">
        <v>5</v>
      </c>
      <c r="G403">
        <v>10284</v>
      </c>
      <c r="H403">
        <v>3331</v>
      </c>
      <c r="I403">
        <v>2.88</v>
      </c>
      <c r="J403">
        <v>39</v>
      </c>
      <c r="K403">
        <f t="shared" ca="1" si="389"/>
        <v>457</v>
      </c>
      <c r="M403">
        <f t="shared" ca="1" si="390"/>
        <v>457</v>
      </c>
      <c r="N403" t="str">
        <f t="shared" si="391"/>
        <v>Average</v>
      </c>
      <c r="O403" t="e">
        <f t="shared" si="392"/>
        <v>#N/A</v>
      </c>
      <c r="P403" t="str">
        <f t="shared" si="393"/>
        <v>NO</v>
      </c>
      <c r="Q403">
        <f t="shared" si="386"/>
        <v>580394</v>
      </c>
      <c r="R403" t="str">
        <f t="shared" si="394"/>
        <v>2022-2023</v>
      </c>
    </row>
    <row r="404" spans="1:18" hidden="1" x14ac:dyDescent="0.25">
      <c r="A404" t="s">
        <v>1014</v>
      </c>
      <c r="B404" t="s">
        <v>1015</v>
      </c>
      <c r="C404" t="s">
        <v>32</v>
      </c>
      <c r="D404" t="s">
        <v>65</v>
      </c>
      <c r="E404" s="1">
        <v>45202</v>
      </c>
      <c r="F404" t="s">
        <v>11</v>
      </c>
      <c r="G404">
        <v>3783</v>
      </c>
      <c r="H404">
        <v>2017</v>
      </c>
      <c r="I404">
        <v>3.28</v>
      </c>
      <c r="J404">
        <v>88</v>
      </c>
      <c r="Q404">
        <f t="shared" si="386"/>
        <v>580394</v>
      </c>
    </row>
    <row r="405" spans="1:18" hidden="1" x14ac:dyDescent="0.25">
      <c r="A405" t="s">
        <v>1016</v>
      </c>
      <c r="B405" t="s">
        <v>1017</v>
      </c>
      <c r="C405" t="s">
        <v>58</v>
      </c>
      <c r="D405" t="s">
        <v>25</v>
      </c>
      <c r="E405" s="1">
        <v>44997</v>
      </c>
      <c r="F405" t="s">
        <v>36</v>
      </c>
      <c r="G405">
        <v>2286</v>
      </c>
      <c r="H405">
        <v>5321</v>
      </c>
      <c r="I405">
        <v>2.81</v>
      </c>
      <c r="J405">
        <v>111</v>
      </c>
      <c r="Q405">
        <f t="shared" si="386"/>
        <v>580394</v>
      </c>
    </row>
    <row r="406" spans="1:18" x14ac:dyDescent="0.25">
      <c r="A406" t="s">
        <v>1018</v>
      </c>
      <c r="B406" t="s">
        <v>1019</v>
      </c>
      <c r="C406" t="s">
        <v>21</v>
      </c>
      <c r="D406" t="s">
        <v>3</v>
      </c>
      <c r="E406" t="s">
        <v>1020</v>
      </c>
      <c r="F406" t="s">
        <v>5</v>
      </c>
      <c r="G406">
        <v>6531</v>
      </c>
      <c r="H406">
        <v>6344</v>
      </c>
      <c r="I406">
        <v>3.86</v>
      </c>
      <c r="J406">
        <v>36</v>
      </c>
      <c r="K406">
        <f t="shared" ref="K406:K408" ca="1" si="395">IF(F406="Enrolled", TODAY()-E406, "")</f>
        <v>1051</v>
      </c>
      <c r="M406">
        <f t="shared" ref="M406:M408" ca="1" si="396">IF(F406="Enrolled",TODAY() - E406,"")</f>
        <v>1051</v>
      </c>
      <c r="N406" t="str">
        <f t="shared" ref="N406:N408" si="397">IF(I408&gt;=3.5,"Excellent",IF(I408&gt;=3,"Good",IF(I408&gt;=2,"Average","Poor")))</f>
        <v>Good</v>
      </c>
      <c r="O406" t="e">
        <f t="shared" ref="O406:O408" si="398">VLOOKUP(D406, $T$18:$U$23, 2, FALSE)</f>
        <v>#N/A</v>
      </c>
      <c r="P406" t="str">
        <f t="shared" ref="P406:P408" si="399">IF(H406 &gt; 0.5 * G406, "YES", "NO")</f>
        <v>YES</v>
      </c>
      <c r="Q406">
        <f t="shared" si="386"/>
        <v>580394</v>
      </c>
      <c r="R406" t="str">
        <f t="shared" ref="R406:R408" si="400">IF(MONTH(E400)&gt;=6, YEAR(E400) &amp; "-" &amp; YEAR(E400)+1, YEAR(E400)-1 &amp; "-" &amp; YEAR(E400))</f>
        <v>2023-2024</v>
      </c>
    </row>
    <row r="407" spans="1:18" x14ac:dyDescent="0.25">
      <c r="A407" t="s">
        <v>1021</v>
      </c>
      <c r="B407" t="s">
        <v>1022</v>
      </c>
      <c r="C407" t="s">
        <v>21</v>
      </c>
      <c r="D407" t="s">
        <v>3</v>
      </c>
      <c r="E407" t="s">
        <v>1023</v>
      </c>
      <c r="F407" t="s">
        <v>5</v>
      </c>
      <c r="G407">
        <v>5496</v>
      </c>
      <c r="H407">
        <v>3092</v>
      </c>
      <c r="I407">
        <v>3.83</v>
      </c>
      <c r="J407">
        <v>71</v>
      </c>
      <c r="K407">
        <f t="shared" ca="1" si="395"/>
        <v>1293</v>
      </c>
      <c r="M407">
        <f t="shared" ca="1" si="396"/>
        <v>1293</v>
      </c>
      <c r="N407" t="str">
        <f t="shared" si="397"/>
        <v>Good</v>
      </c>
      <c r="O407" t="e">
        <f t="shared" si="398"/>
        <v>#N/A</v>
      </c>
      <c r="P407" t="str">
        <f t="shared" si="399"/>
        <v>YES</v>
      </c>
      <c r="Q407">
        <f t="shared" si="386"/>
        <v>580394</v>
      </c>
      <c r="R407" t="str">
        <f t="shared" si="400"/>
        <v>2023-2024</v>
      </c>
    </row>
    <row r="408" spans="1:18" x14ac:dyDescent="0.25">
      <c r="A408" t="s">
        <v>1024</v>
      </c>
      <c r="B408" t="s">
        <v>1025</v>
      </c>
      <c r="C408" t="s">
        <v>55</v>
      </c>
      <c r="D408" t="s">
        <v>3</v>
      </c>
      <c r="E408" t="s">
        <v>1026</v>
      </c>
      <c r="F408" t="s">
        <v>5</v>
      </c>
      <c r="G408">
        <v>8341</v>
      </c>
      <c r="H408">
        <v>2639</v>
      </c>
      <c r="I408">
        <v>3.15</v>
      </c>
      <c r="J408">
        <v>39</v>
      </c>
      <c r="K408">
        <f t="shared" ca="1" si="395"/>
        <v>1286</v>
      </c>
      <c r="M408">
        <f t="shared" ca="1" si="396"/>
        <v>1286</v>
      </c>
      <c r="N408" t="str">
        <f t="shared" si="397"/>
        <v>Good</v>
      </c>
      <c r="O408" t="e">
        <f t="shared" si="398"/>
        <v>#N/A</v>
      </c>
      <c r="P408" t="str">
        <f t="shared" si="399"/>
        <v>NO</v>
      </c>
      <c r="Q408">
        <f t="shared" si="386"/>
        <v>580394</v>
      </c>
      <c r="R408" t="str">
        <f t="shared" si="400"/>
        <v>2022-2023</v>
      </c>
    </row>
    <row r="409" spans="1:18" hidden="1" x14ac:dyDescent="0.25">
      <c r="A409" t="s">
        <v>1027</v>
      </c>
      <c r="B409" t="s">
        <v>1028</v>
      </c>
      <c r="C409" t="s">
        <v>55</v>
      </c>
      <c r="D409" t="s">
        <v>9</v>
      </c>
      <c r="E409" t="s">
        <v>1029</v>
      </c>
      <c r="F409" t="s">
        <v>11</v>
      </c>
      <c r="G409">
        <v>3900</v>
      </c>
      <c r="H409">
        <v>8192</v>
      </c>
      <c r="I409">
        <v>3.46</v>
      </c>
      <c r="J409">
        <v>1</v>
      </c>
      <c r="Q409">
        <f t="shared" si="386"/>
        <v>580394</v>
      </c>
    </row>
    <row r="410" spans="1:18" hidden="1" x14ac:dyDescent="0.25">
      <c r="A410" t="s">
        <v>1030</v>
      </c>
      <c r="B410" t="s">
        <v>1031</v>
      </c>
      <c r="C410" t="s">
        <v>21</v>
      </c>
      <c r="D410" t="s">
        <v>3</v>
      </c>
      <c r="E410" s="1">
        <v>45510</v>
      </c>
      <c r="F410" t="s">
        <v>11</v>
      </c>
      <c r="G410">
        <v>10931</v>
      </c>
      <c r="H410">
        <v>768</v>
      </c>
      <c r="I410">
        <v>3.3</v>
      </c>
      <c r="J410">
        <v>97</v>
      </c>
      <c r="Q410">
        <f t="shared" si="386"/>
        <v>576494</v>
      </c>
    </row>
    <row r="411" spans="1:18" x14ac:dyDescent="0.25">
      <c r="A411" t="s">
        <v>1032</v>
      </c>
      <c r="B411" t="s">
        <v>1033</v>
      </c>
      <c r="C411" t="s">
        <v>21</v>
      </c>
      <c r="D411" t="s">
        <v>3</v>
      </c>
      <c r="E411" t="s">
        <v>1034</v>
      </c>
      <c r="F411" t="s">
        <v>5</v>
      </c>
      <c r="G411">
        <v>13786</v>
      </c>
      <c r="H411">
        <v>8660</v>
      </c>
      <c r="I411">
        <v>2.0499999999999998</v>
      </c>
      <c r="J411">
        <v>59</v>
      </c>
      <c r="K411">
        <f t="shared" ref="K411" ca="1" si="401">IF(F411="Enrolled", TODAY()-E411, "")</f>
        <v>768</v>
      </c>
      <c r="M411">
        <f ca="1">IF(F411="Enrolled",TODAY() - E411,"")</f>
        <v>768</v>
      </c>
      <c r="N411" t="str">
        <f>IF(I413&gt;=3.5,"Excellent",IF(I413&gt;=3,"Good",IF(I413&gt;=2,"Average","Poor")))</f>
        <v>Average</v>
      </c>
      <c r="O411" t="e">
        <f>VLOOKUP(D411, $T$18:$U$23, 2, FALSE)</f>
        <v>#N/A</v>
      </c>
      <c r="P411" t="str">
        <f t="shared" ref="P411" si="402">IF(H411 &gt; 0.5 * G411, "YES", "NO")</f>
        <v>YES</v>
      </c>
      <c r="Q411">
        <f t="shared" si="386"/>
        <v>576494</v>
      </c>
      <c r="R411" t="str">
        <f>IF(MONTH(E405)&gt;=6, YEAR(E405) &amp; "-" &amp; YEAR(E405)+1, YEAR(E405)-1 &amp; "-" &amp; YEAR(E405))</f>
        <v>2022-2023</v>
      </c>
    </row>
    <row r="412" spans="1:18" hidden="1" x14ac:dyDescent="0.25">
      <c r="A412" t="s">
        <v>1035</v>
      </c>
      <c r="B412" t="s">
        <v>1036</v>
      </c>
      <c r="C412" t="s">
        <v>21</v>
      </c>
      <c r="D412" t="s">
        <v>65</v>
      </c>
      <c r="E412" s="1">
        <v>45507</v>
      </c>
      <c r="F412" t="s">
        <v>11</v>
      </c>
      <c r="G412">
        <v>7556</v>
      </c>
      <c r="H412">
        <v>4121</v>
      </c>
      <c r="I412">
        <v>2.62</v>
      </c>
      <c r="J412">
        <v>109</v>
      </c>
      <c r="Q412">
        <f t="shared" si="386"/>
        <v>576494</v>
      </c>
    </row>
    <row r="413" spans="1:18" x14ac:dyDescent="0.25">
      <c r="A413" t="s">
        <v>1037</v>
      </c>
      <c r="B413" t="s">
        <v>1038</v>
      </c>
      <c r="C413" t="s">
        <v>2</v>
      </c>
      <c r="D413" t="s">
        <v>65</v>
      </c>
      <c r="E413" s="1">
        <v>45236</v>
      </c>
      <c r="F413" t="s">
        <v>5</v>
      </c>
      <c r="G413">
        <v>2531</v>
      </c>
      <c r="H413">
        <v>864</v>
      </c>
      <c r="I413">
        <v>2.9</v>
      </c>
      <c r="J413">
        <v>20</v>
      </c>
      <c r="K413">
        <f t="shared" ref="K413:K419" ca="1" si="403">IF(F413="Enrolled", TODAY()-E413, "")</f>
        <v>731</v>
      </c>
      <c r="M413">
        <f t="shared" ref="M413:M419" ca="1" si="404">IF(F413="Enrolled",TODAY() - E413,"")</f>
        <v>731</v>
      </c>
      <c r="N413" t="str">
        <f t="shared" ref="N413:N419" si="405">IF(I415&gt;=3.5,"Excellent",IF(I415&gt;=3,"Good",IF(I415&gt;=2,"Average","Poor")))</f>
        <v>Excellent</v>
      </c>
      <c r="O413" t="e">
        <f t="shared" ref="O413:O419" si="406">VLOOKUP(D413, $T$18:$U$23, 2, FALSE)</f>
        <v>#N/A</v>
      </c>
      <c r="P413" t="str">
        <f t="shared" ref="P413:P419" si="407">IF(H413 &gt; 0.5 * G413, "YES", "NO")</f>
        <v>NO</v>
      </c>
      <c r="Q413">
        <f t="shared" si="386"/>
        <v>576494</v>
      </c>
      <c r="R413" t="str">
        <f t="shared" ref="R413:R419" si="408">IF(MONTH(E407)&gt;=6, YEAR(E407) &amp; "-" &amp; YEAR(E407)+1, YEAR(E407)-1 &amp; "-" &amp; YEAR(E407))</f>
        <v>2021-2022</v>
      </c>
    </row>
    <row r="414" spans="1:18" x14ac:dyDescent="0.25">
      <c r="A414" t="s">
        <v>1039</v>
      </c>
      <c r="B414" t="s">
        <v>1040</v>
      </c>
      <c r="C414" t="s">
        <v>17</v>
      </c>
      <c r="D414" t="s">
        <v>65</v>
      </c>
      <c r="E414" s="1">
        <v>44934</v>
      </c>
      <c r="F414" t="s">
        <v>5</v>
      </c>
      <c r="G414">
        <v>11002</v>
      </c>
      <c r="H414">
        <v>7136</v>
      </c>
      <c r="I414">
        <v>3.77</v>
      </c>
      <c r="J414">
        <v>43</v>
      </c>
      <c r="K414">
        <f t="shared" ca="1" si="403"/>
        <v>1033</v>
      </c>
      <c r="M414">
        <f t="shared" ca="1" si="404"/>
        <v>1033</v>
      </c>
      <c r="N414" t="str">
        <f t="shared" si="405"/>
        <v>Average</v>
      </c>
      <c r="O414" t="e">
        <f t="shared" si="406"/>
        <v>#N/A</v>
      </c>
      <c r="P414" t="str">
        <f t="shared" si="407"/>
        <v>YES</v>
      </c>
      <c r="Q414">
        <f t="shared" si="386"/>
        <v>576494</v>
      </c>
      <c r="R414" t="str">
        <f t="shared" si="408"/>
        <v>2021-2022</v>
      </c>
    </row>
    <row r="415" spans="1:18" x14ac:dyDescent="0.25">
      <c r="A415" t="s">
        <v>1041</v>
      </c>
      <c r="B415" t="s">
        <v>1042</v>
      </c>
      <c r="C415" t="s">
        <v>32</v>
      </c>
      <c r="D415" t="s">
        <v>3</v>
      </c>
      <c r="E415" t="s">
        <v>1043</v>
      </c>
      <c r="F415" t="s">
        <v>5</v>
      </c>
      <c r="G415">
        <v>11863</v>
      </c>
      <c r="H415">
        <v>3622</v>
      </c>
      <c r="I415">
        <v>3.98</v>
      </c>
      <c r="J415">
        <v>31</v>
      </c>
      <c r="K415">
        <f t="shared" ca="1" si="403"/>
        <v>1017</v>
      </c>
      <c r="M415">
        <f t="shared" ca="1" si="404"/>
        <v>1017</v>
      </c>
      <c r="N415" t="str">
        <f t="shared" si="405"/>
        <v>Average</v>
      </c>
      <c r="O415" t="e">
        <f t="shared" si="406"/>
        <v>#N/A</v>
      </c>
      <c r="P415" t="str">
        <f t="shared" si="407"/>
        <v>NO</v>
      </c>
      <c r="Q415">
        <f t="shared" si="386"/>
        <v>576494</v>
      </c>
      <c r="R415" t="str">
        <f t="shared" si="408"/>
        <v>2022-2023</v>
      </c>
    </row>
    <row r="416" spans="1:18" x14ac:dyDescent="0.25">
      <c r="A416" t="s">
        <v>1044</v>
      </c>
      <c r="B416" t="s">
        <v>1045</v>
      </c>
      <c r="C416" t="s">
        <v>8</v>
      </c>
      <c r="D416" t="s">
        <v>3</v>
      </c>
      <c r="E416" s="1">
        <v>44877</v>
      </c>
      <c r="F416" t="s">
        <v>5</v>
      </c>
      <c r="G416">
        <v>2264</v>
      </c>
      <c r="H416">
        <v>9265</v>
      </c>
      <c r="I416">
        <v>2.16</v>
      </c>
      <c r="J416">
        <v>73</v>
      </c>
      <c r="K416">
        <f t="shared" ca="1" si="403"/>
        <v>1090</v>
      </c>
      <c r="M416">
        <f t="shared" ca="1" si="404"/>
        <v>1090</v>
      </c>
      <c r="N416" t="str">
        <f t="shared" si="405"/>
        <v>Good</v>
      </c>
      <c r="O416" t="e">
        <f t="shared" si="406"/>
        <v>#N/A</v>
      </c>
      <c r="P416" t="str">
        <f t="shared" si="407"/>
        <v>YES</v>
      </c>
      <c r="Q416">
        <f t="shared" si="386"/>
        <v>576494</v>
      </c>
      <c r="R416" t="str">
        <f t="shared" si="408"/>
        <v>2024-2025</v>
      </c>
    </row>
    <row r="417" spans="1:18" x14ac:dyDescent="0.25">
      <c r="A417" t="s">
        <v>1046</v>
      </c>
      <c r="B417" t="s">
        <v>1047</v>
      </c>
      <c r="C417" t="s">
        <v>14</v>
      </c>
      <c r="D417" t="s">
        <v>25</v>
      </c>
      <c r="E417" s="1">
        <v>44663</v>
      </c>
      <c r="F417" t="s">
        <v>5</v>
      </c>
      <c r="G417">
        <v>10950</v>
      </c>
      <c r="H417">
        <v>9633</v>
      </c>
      <c r="I417">
        <v>2.75</v>
      </c>
      <c r="J417">
        <v>103</v>
      </c>
      <c r="K417">
        <f t="shared" ca="1" si="403"/>
        <v>1304</v>
      </c>
      <c r="M417">
        <f t="shared" ca="1" si="404"/>
        <v>1304</v>
      </c>
      <c r="N417" t="str">
        <f t="shared" si="405"/>
        <v>Average</v>
      </c>
      <c r="O417" t="e">
        <f t="shared" si="406"/>
        <v>#N/A</v>
      </c>
      <c r="P417" t="str">
        <f t="shared" si="407"/>
        <v>YES</v>
      </c>
      <c r="Q417">
        <f t="shared" si="386"/>
        <v>576494</v>
      </c>
      <c r="R417" t="str">
        <f t="shared" si="408"/>
        <v>2023-2024</v>
      </c>
    </row>
    <row r="418" spans="1:18" x14ac:dyDescent="0.25">
      <c r="A418" t="s">
        <v>1048</v>
      </c>
      <c r="B418" t="s">
        <v>1049</v>
      </c>
      <c r="C418" t="s">
        <v>55</v>
      </c>
      <c r="D418" t="s">
        <v>9</v>
      </c>
      <c r="E418" t="s">
        <v>929</v>
      </c>
      <c r="F418" t="s">
        <v>5</v>
      </c>
      <c r="G418">
        <v>14054</v>
      </c>
      <c r="H418">
        <v>2816</v>
      </c>
      <c r="I418">
        <v>3.16</v>
      </c>
      <c r="J418">
        <v>72</v>
      </c>
      <c r="K418">
        <f t="shared" ca="1" si="403"/>
        <v>1141</v>
      </c>
      <c r="M418">
        <f t="shared" ca="1" si="404"/>
        <v>1141</v>
      </c>
      <c r="N418" t="str">
        <f t="shared" si="405"/>
        <v>Average</v>
      </c>
      <c r="O418" t="e">
        <f t="shared" si="406"/>
        <v>#N/A</v>
      </c>
      <c r="P418" t="str">
        <f t="shared" si="407"/>
        <v>NO</v>
      </c>
      <c r="Q418">
        <f t="shared" si="386"/>
        <v>576494</v>
      </c>
      <c r="R418" t="str">
        <f t="shared" si="408"/>
        <v>2024-2025</v>
      </c>
    </row>
    <row r="419" spans="1:18" x14ac:dyDescent="0.25">
      <c r="A419" t="s">
        <v>1050</v>
      </c>
      <c r="B419" t="s">
        <v>1051</v>
      </c>
      <c r="C419" t="s">
        <v>8</v>
      </c>
      <c r="D419" t="s">
        <v>3</v>
      </c>
      <c r="E419" t="s">
        <v>1052</v>
      </c>
      <c r="F419" t="s">
        <v>5</v>
      </c>
      <c r="G419">
        <v>3844</v>
      </c>
      <c r="H419">
        <v>3972</v>
      </c>
      <c r="I419">
        <v>2.31</v>
      </c>
      <c r="J419">
        <v>57</v>
      </c>
      <c r="K419">
        <f t="shared" ca="1" si="403"/>
        <v>1145</v>
      </c>
      <c r="M419">
        <f t="shared" ca="1" si="404"/>
        <v>1145</v>
      </c>
      <c r="N419" t="str">
        <f t="shared" si="405"/>
        <v>Good</v>
      </c>
      <c r="O419" t="e">
        <f t="shared" si="406"/>
        <v>#N/A</v>
      </c>
      <c r="P419" t="str">
        <f t="shared" si="407"/>
        <v>YES</v>
      </c>
      <c r="Q419">
        <f t="shared" si="386"/>
        <v>576494</v>
      </c>
      <c r="R419" t="str">
        <f t="shared" si="408"/>
        <v>2023-2024</v>
      </c>
    </row>
    <row r="420" spans="1:18" hidden="1" x14ac:dyDescent="0.25">
      <c r="A420" t="s">
        <v>1053</v>
      </c>
      <c r="B420" t="s">
        <v>1054</v>
      </c>
      <c r="C420" t="s">
        <v>8</v>
      </c>
      <c r="D420" t="s">
        <v>65</v>
      </c>
      <c r="E420" s="1">
        <v>44745</v>
      </c>
      <c r="F420" t="s">
        <v>11</v>
      </c>
      <c r="G420">
        <v>5442</v>
      </c>
      <c r="H420">
        <v>4647</v>
      </c>
      <c r="I420">
        <v>2.83</v>
      </c>
      <c r="J420">
        <v>23</v>
      </c>
      <c r="Q420">
        <f t="shared" si="386"/>
        <v>576494</v>
      </c>
    </row>
    <row r="421" spans="1:18" x14ac:dyDescent="0.25">
      <c r="A421" t="s">
        <v>1055</v>
      </c>
      <c r="B421" t="s">
        <v>1056</v>
      </c>
      <c r="C421" t="s">
        <v>21</v>
      </c>
      <c r="D421" t="s">
        <v>9</v>
      </c>
      <c r="E421" s="1">
        <v>44627</v>
      </c>
      <c r="F421" t="s">
        <v>5</v>
      </c>
      <c r="G421">
        <v>6199</v>
      </c>
      <c r="H421">
        <v>3078</v>
      </c>
      <c r="I421">
        <v>3.4</v>
      </c>
      <c r="J421">
        <v>118</v>
      </c>
      <c r="K421">
        <f t="shared" ref="K421:K422" ca="1" si="409">IF(F421="Enrolled", TODAY()-E421, "")</f>
        <v>1340</v>
      </c>
      <c r="M421">
        <f t="shared" ref="M421:M422" ca="1" si="410">IF(F421="Enrolled",TODAY() - E421,"")</f>
        <v>1340</v>
      </c>
      <c r="N421" t="str">
        <f t="shared" ref="N421:N422" si="411">IF(I423&gt;=3.5,"Excellent",IF(I423&gt;=3,"Good",IF(I423&gt;=2,"Average","Poor")))</f>
        <v>Good</v>
      </c>
      <c r="O421" t="e">
        <f t="shared" ref="O421:O422" si="412">VLOOKUP(D421, $T$18:$U$23, 2, FALSE)</f>
        <v>#N/A</v>
      </c>
      <c r="P421" t="str">
        <f t="shared" ref="P421:P422" si="413">IF(H421 &gt; 0.5 * G421, "YES", "NO")</f>
        <v>NO</v>
      </c>
      <c r="Q421">
        <f t="shared" si="386"/>
        <v>576494</v>
      </c>
      <c r="R421" t="str">
        <f t="shared" ref="R421:R422" si="414">IF(MONTH(E415)&gt;=6, YEAR(E415) &amp; "-" &amp; YEAR(E415)+1, YEAR(E415)-1 &amp; "-" &amp; YEAR(E415))</f>
        <v>2022-2023</v>
      </c>
    </row>
    <row r="422" spans="1:18" x14ac:dyDescent="0.25">
      <c r="A422" t="s">
        <v>1057</v>
      </c>
      <c r="B422" t="s">
        <v>1058</v>
      </c>
      <c r="C422" t="s">
        <v>17</v>
      </c>
      <c r="D422" t="s">
        <v>9</v>
      </c>
      <c r="E422" s="1">
        <v>45630</v>
      </c>
      <c r="F422" t="s">
        <v>5</v>
      </c>
      <c r="G422">
        <v>14814</v>
      </c>
      <c r="H422">
        <v>8975</v>
      </c>
      <c r="I422">
        <v>3.52</v>
      </c>
      <c r="J422">
        <v>109</v>
      </c>
      <c r="K422">
        <f t="shared" ca="1" si="409"/>
        <v>337</v>
      </c>
      <c r="M422">
        <f t="shared" ca="1" si="410"/>
        <v>337</v>
      </c>
      <c r="N422" t="str">
        <f t="shared" si="411"/>
        <v>Average</v>
      </c>
      <c r="O422" t="e">
        <f t="shared" si="412"/>
        <v>#N/A</v>
      </c>
      <c r="P422" t="str">
        <f t="shared" si="413"/>
        <v>YES</v>
      </c>
      <c r="Q422">
        <f t="shared" si="386"/>
        <v>576494</v>
      </c>
      <c r="R422" t="str">
        <f t="shared" si="414"/>
        <v>2022-2023</v>
      </c>
    </row>
    <row r="423" spans="1:18" hidden="1" x14ac:dyDescent="0.25">
      <c r="A423" t="s">
        <v>1059</v>
      </c>
      <c r="B423" t="s">
        <v>1060</v>
      </c>
      <c r="C423" t="s">
        <v>2</v>
      </c>
      <c r="D423" t="s">
        <v>65</v>
      </c>
      <c r="E423" t="s">
        <v>1061</v>
      </c>
      <c r="F423" t="s">
        <v>11</v>
      </c>
      <c r="G423">
        <v>7031</v>
      </c>
      <c r="H423">
        <v>1727</v>
      </c>
      <c r="I423">
        <v>3.48</v>
      </c>
      <c r="J423">
        <v>25</v>
      </c>
      <c r="Q423">
        <f t="shared" si="386"/>
        <v>576494</v>
      </c>
    </row>
    <row r="424" spans="1:18" x14ac:dyDescent="0.25">
      <c r="A424" t="s">
        <v>1062</v>
      </c>
      <c r="B424" t="s">
        <v>1063</v>
      </c>
      <c r="C424" t="s">
        <v>32</v>
      </c>
      <c r="D424" t="s">
        <v>3</v>
      </c>
      <c r="E424" t="s">
        <v>1064</v>
      </c>
      <c r="F424" t="s">
        <v>5</v>
      </c>
      <c r="G424">
        <v>12388</v>
      </c>
      <c r="H424">
        <v>9027</v>
      </c>
      <c r="I424">
        <v>2.42</v>
      </c>
      <c r="J424">
        <v>93</v>
      </c>
      <c r="K424">
        <f t="shared" ref="K424" ca="1" si="415">IF(F424="Enrolled", TODAY()-E424, "")</f>
        <v>1209</v>
      </c>
      <c r="M424">
        <f ca="1">IF(F424="Enrolled",TODAY() - E424,"")</f>
        <v>1209</v>
      </c>
      <c r="N424" t="str">
        <f>IF(I426&gt;=3.5,"Excellent",IF(I426&gt;=3,"Good",IF(I426&gt;=2,"Average","Poor")))</f>
        <v>Average</v>
      </c>
      <c r="O424" t="e">
        <f>VLOOKUP(D424, $T$18:$U$23, 2, FALSE)</f>
        <v>#N/A</v>
      </c>
      <c r="P424" t="str">
        <f t="shared" ref="P424" si="416">IF(H424 &gt; 0.5 * G424, "YES", "NO")</f>
        <v>YES</v>
      </c>
      <c r="Q424">
        <f t="shared" si="386"/>
        <v>576494</v>
      </c>
      <c r="R424" t="str">
        <f>IF(MONTH(E418)&gt;=6, YEAR(E418) &amp; "-" &amp; YEAR(E418)+1, YEAR(E418)-1 &amp; "-" &amp; YEAR(E418))</f>
        <v>2022-2023</v>
      </c>
    </row>
    <row r="425" spans="1:18" hidden="1" x14ac:dyDescent="0.25">
      <c r="A425" t="s">
        <v>1065</v>
      </c>
      <c r="B425" t="s">
        <v>1066</v>
      </c>
      <c r="C425" t="s">
        <v>55</v>
      </c>
      <c r="D425" t="s">
        <v>3</v>
      </c>
      <c r="E425" s="1">
        <v>45627</v>
      </c>
      <c r="F425" t="s">
        <v>11</v>
      </c>
      <c r="G425">
        <v>12003</v>
      </c>
      <c r="H425">
        <v>6828</v>
      </c>
      <c r="I425">
        <v>3.79</v>
      </c>
      <c r="J425">
        <v>69</v>
      </c>
      <c r="Q425">
        <f t="shared" si="386"/>
        <v>576494</v>
      </c>
    </row>
    <row r="426" spans="1:18" x14ac:dyDescent="0.25">
      <c r="A426" t="s">
        <v>1067</v>
      </c>
      <c r="B426" t="s">
        <v>1068</v>
      </c>
      <c r="C426" t="s">
        <v>8</v>
      </c>
      <c r="D426" t="s">
        <v>25</v>
      </c>
      <c r="E426" s="1">
        <v>45267</v>
      </c>
      <c r="F426" t="s">
        <v>5</v>
      </c>
      <c r="G426">
        <v>11667</v>
      </c>
      <c r="H426">
        <v>4710</v>
      </c>
      <c r="I426">
        <v>2.02</v>
      </c>
      <c r="J426">
        <v>45</v>
      </c>
      <c r="K426">
        <f t="shared" ref="K426:K428" ca="1" si="417">IF(F426="Enrolled", TODAY()-E426, "")</f>
        <v>700</v>
      </c>
      <c r="M426">
        <f t="shared" ref="M426:M428" ca="1" si="418">IF(F426="Enrolled",TODAY() - E426,"")</f>
        <v>700</v>
      </c>
      <c r="N426" t="str">
        <f t="shared" ref="N426:N428" si="419">IF(I428&gt;=3.5,"Excellent",IF(I428&gt;=3,"Good",IF(I428&gt;=2,"Average","Poor")))</f>
        <v>Good</v>
      </c>
      <c r="O426" t="e">
        <f t="shared" ref="O426:O428" si="420">VLOOKUP(D426, $T$18:$U$23, 2, FALSE)</f>
        <v>#N/A</v>
      </c>
      <c r="P426" t="str">
        <f t="shared" ref="P426:P428" si="421">IF(H426 &gt; 0.5 * G426, "YES", "NO")</f>
        <v>NO</v>
      </c>
      <c r="Q426">
        <f t="shared" si="386"/>
        <v>576494</v>
      </c>
      <c r="R426" t="str">
        <f t="shared" ref="R426:R428" si="422">IF(MONTH(E420)&gt;=6, YEAR(E420) &amp; "-" &amp; YEAR(E420)+1, YEAR(E420)-1 &amp; "-" &amp; YEAR(E420))</f>
        <v>2022-2023</v>
      </c>
    </row>
    <row r="427" spans="1:18" x14ac:dyDescent="0.25">
      <c r="A427" t="s">
        <v>1069</v>
      </c>
      <c r="B427" t="s">
        <v>1070</v>
      </c>
      <c r="C427" t="s">
        <v>17</v>
      </c>
      <c r="D427" t="s">
        <v>65</v>
      </c>
      <c r="E427" s="1">
        <v>44598</v>
      </c>
      <c r="F427" t="s">
        <v>5</v>
      </c>
      <c r="G427">
        <v>12437</v>
      </c>
      <c r="H427">
        <v>4916</v>
      </c>
      <c r="I427">
        <v>2.25</v>
      </c>
      <c r="J427">
        <v>3</v>
      </c>
      <c r="K427">
        <f t="shared" ca="1" si="417"/>
        <v>1369</v>
      </c>
      <c r="M427">
        <f t="shared" ca="1" si="418"/>
        <v>1369</v>
      </c>
      <c r="N427" t="str">
        <f t="shared" si="419"/>
        <v>Average</v>
      </c>
      <c r="O427" t="e">
        <f t="shared" si="420"/>
        <v>#N/A</v>
      </c>
      <c r="P427" t="str">
        <f t="shared" si="421"/>
        <v>NO</v>
      </c>
      <c r="Q427">
        <f t="shared" si="386"/>
        <v>576494</v>
      </c>
      <c r="R427" t="str">
        <f t="shared" si="422"/>
        <v>2021-2022</v>
      </c>
    </row>
    <row r="428" spans="1:18" x14ac:dyDescent="0.25">
      <c r="A428" t="s">
        <v>1071</v>
      </c>
      <c r="B428" t="s">
        <v>1072</v>
      </c>
      <c r="C428" t="s">
        <v>21</v>
      </c>
      <c r="D428" t="s">
        <v>9</v>
      </c>
      <c r="E428" t="s">
        <v>1073</v>
      </c>
      <c r="F428" t="s">
        <v>5</v>
      </c>
      <c r="G428">
        <v>7135</v>
      </c>
      <c r="H428">
        <v>4567</v>
      </c>
      <c r="I428">
        <v>3.08</v>
      </c>
      <c r="J428">
        <v>66</v>
      </c>
      <c r="K428">
        <f t="shared" ca="1" si="417"/>
        <v>525</v>
      </c>
      <c r="M428">
        <f t="shared" ca="1" si="418"/>
        <v>525</v>
      </c>
      <c r="N428" t="str">
        <f t="shared" si="419"/>
        <v>Excellent</v>
      </c>
      <c r="O428" t="e">
        <f t="shared" si="420"/>
        <v>#N/A</v>
      </c>
      <c r="P428" t="str">
        <f t="shared" si="421"/>
        <v>YES</v>
      </c>
      <c r="Q428">
        <f t="shared" si="386"/>
        <v>576494</v>
      </c>
      <c r="R428" t="str">
        <f t="shared" si="422"/>
        <v>2024-2025</v>
      </c>
    </row>
    <row r="429" spans="1:18" hidden="1" x14ac:dyDescent="0.25">
      <c r="A429" t="s">
        <v>1074</v>
      </c>
      <c r="B429" t="s">
        <v>1075</v>
      </c>
      <c r="C429" t="s">
        <v>17</v>
      </c>
      <c r="D429" t="s">
        <v>3</v>
      </c>
      <c r="E429" s="1">
        <v>45262</v>
      </c>
      <c r="F429" t="s">
        <v>36</v>
      </c>
      <c r="G429">
        <v>13450</v>
      </c>
      <c r="H429">
        <v>2890</v>
      </c>
      <c r="I429">
        <v>2.15</v>
      </c>
      <c r="J429">
        <v>45</v>
      </c>
      <c r="Q429">
        <f t="shared" si="386"/>
        <v>576494</v>
      </c>
    </row>
    <row r="430" spans="1:18" hidden="1" x14ac:dyDescent="0.25">
      <c r="A430" t="s">
        <v>1076</v>
      </c>
      <c r="B430" t="s">
        <v>1077</v>
      </c>
      <c r="C430" t="s">
        <v>17</v>
      </c>
      <c r="D430" t="s">
        <v>3</v>
      </c>
      <c r="E430" s="1">
        <v>45232</v>
      </c>
      <c r="F430" t="s">
        <v>11</v>
      </c>
      <c r="G430">
        <v>4844</v>
      </c>
      <c r="H430">
        <v>4629</v>
      </c>
      <c r="I430">
        <v>3.53</v>
      </c>
      <c r="J430">
        <v>42</v>
      </c>
      <c r="Q430">
        <f t="shared" si="386"/>
        <v>576494</v>
      </c>
    </row>
    <row r="431" spans="1:18" x14ac:dyDescent="0.25">
      <c r="A431" t="s">
        <v>1078</v>
      </c>
      <c r="B431" t="s">
        <v>1079</v>
      </c>
      <c r="C431" t="s">
        <v>21</v>
      </c>
      <c r="D431" t="s">
        <v>9</v>
      </c>
      <c r="E431" t="s">
        <v>1080</v>
      </c>
      <c r="F431" t="s">
        <v>5</v>
      </c>
      <c r="G431">
        <v>6230</v>
      </c>
      <c r="H431">
        <v>9993</v>
      </c>
      <c r="I431">
        <v>3.22</v>
      </c>
      <c r="J431">
        <v>54</v>
      </c>
      <c r="K431">
        <f t="shared" ref="K431:K433" ca="1" si="423">IF(F431="Enrolled", TODAY()-E431, "")</f>
        <v>966</v>
      </c>
      <c r="M431">
        <f t="shared" ref="M431:M433" ca="1" si="424">IF(F431="Enrolled",TODAY() - E431,"")</f>
        <v>966</v>
      </c>
      <c r="N431" t="str">
        <f t="shared" ref="N431:N433" si="425">IF(I433&gt;=3.5,"Excellent",IF(I433&gt;=3,"Good",IF(I433&gt;=2,"Average","Poor")))</f>
        <v>Good</v>
      </c>
      <c r="O431" t="e">
        <f t="shared" ref="O431:O433" si="426">VLOOKUP(D431, $T$18:$U$23, 2, FALSE)</f>
        <v>#N/A</v>
      </c>
      <c r="P431" t="str">
        <f t="shared" ref="P431:P433" si="427">IF(H431 &gt; 0.5 * G431, "YES", "NO")</f>
        <v>YES</v>
      </c>
      <c r="Q431">
        <f t="shared" si="386"/>
        <v>576494</v>
      </c>
      <c r="R431" t="str">
        <f t="shared" ref="R431:R433" si="428">IF(MONTH(E425)&gt;=6, YEAR(E425) &amp; "-" &amp; YEAR(E425)+1, YEAR(E425)-1 &amp; "-" &amp; YEAR(E425))</f>
        <v>2024-2025</v>
      </c>
    </row>
    <row r="432" spans="1:18" x14ac:dyDescent="0.25">
      <c r="A432" t="s">
        <v>1081</v>
      </c>
      <c r="B432" t="s">
        <v>1082</v>
      </c>
      <c r="C432" t="s">
        <v>17</v>
      </c>
      <c r="D432" t="s">
        <v>9</v>
      </c>
      <c r="E432" t="s">
        <v>123</v>
      </c>
      <c r="F432" t="s">
        <v>5</v>
      </c>
      <c r="G432">
        <v>8045</v>
      </c>
      <c r="H432">
        <v>9544</v>
      </c>
      <c r="I432">
        <v>3.7</v>
      </c>
      <c r="J432">
        <v>112</v>
      </c>
      <c r="K432">
        <f t="shared" ca="1" si="423"/>
        <v>1390</v>
      </c>
      <c r="M432">
        <f t="shared" ca="1" si="424"/>
        <v>1390</v>
      </c>
      <c r="N432" t="str">
        <f t="shared" si="425"/>
        <v>Average</v>
      </c>
      <c r="O432" t="e">
        <f t="shared" si="426"/>
        <v>#N/A</v>
      </c>
      <c r="P432" t="str">
        <f t="shared" si="427"/>
        <v>YES</v>
      </c>
      <c r="Q432">
        <f t="shared" si="386"/>
        <v>576494</v>
      </c>
      <c r="R432" t="str">
        <f t="shared" si="428"/>
        <v>2023-2024</v>
      </c>
    </row>
    <row r="433" spans="1:18" x14ac:dyDescent="0.25">
      <c r="A433" t="s">
        <v>1083</v>
      </c>
      <c r="B433" t="s">
        <v>1084</v>
      </c>
      <c r="C433" t="s">
        <v>17</v>
      </c>
      <c r="D433" t="s">
        <v>25</v>
      </c>
      <c r="E433" t="s">
        <v>701</v>
      </c>
      <c r="F433" t="s">
        <v>5</v>
      </c>
      <c r="G433">
        <v>14341</v>
      </c>
      <c r="H433">
        <v>3156</v>
      </c>
      <c r="I433">
        <v>3.45</v>
      </c>
      <c r="J433">
        <v>34</v>
      </c>
      <c r="K433">
        <f t="shared" ca="1" si="423"/>
        <v>907</v>
      </c>
      <c r="M433">
        <f t="shared" ca="1" si="424"/>
        <v>907</v>
      </c>
      <c r="N433" t="str">
        <f t="shared" si="425"/>
        <v>Average</v>
      </c>
      <c r="O433" t="e">
        <f t="shared" si="426"/>
        <v>#N/A</v>
      </c>
      <c r="P433" t="str">
        <f t="shared" si="427"/>
        <v>NO</v>
      </c>
      <c r="Q433">
        <f t="shared" si="386"/>
        <v>576494</v>
      </c>
      <c r="R433" t="str">
        <f t="shared" si="428"/>
        <v>2021-2022</v>
      </c>
    </row>
    <row r="434" spans="1:18" hidden="1" x14ac:dyDescent="0.25">
      <c r="A434" t="s">
        <v>1085</v>
      </c>
      <c r="B434" t="s">
        <v>1086</v>
      </c>
      <c r="C434" t="s">
        <v>2</v>
      </c>
      <c r="D434" t="s">
        <v>3</v>
      </c>
      <c r="E434" t="s">
        <v>232</v>
      </c>
      <c r="F434" t="s">
        <v>36</v>
      </c>
      <c r="G434">
        <v>12361</v>
      </c>
      <c r="H434">
        <v>7447</v>
      </c>
      <c r="I434">
        <v>2.37</v>
      </c>
      <c r="J434">
        <v>62</v>
      </c>
      <c r="Q434">
        <f t="shared" si="386"/>
        <v>576494</v>
      </c>
    </row>
    <row r="435" spans="1:18" x14ac:dyDescent="0.25">
      <c r="A435" t="s">
        <v>1087</v>
      </c>
      <c r="B435" t="s">
        <v>1088</v>
      </c>
      <c r="C435" t="s">
        <v>8</v>
      </c>
      <c r="D435" t="s">
        <v>9</v>
      </c>
      <c r="E435" t="s">
        <v>1089</v>
      </c>
      <c r="F435" t="s">
        <v>5</v>
      </c>
      <c r="G435">
        <v>5539</v>
      </c>
      <c r="H435">
        <v>4162</v>
      </c>
      <c r="I435">
        <v>2.06</v>
      </c>
      <c r="J435">
        <v>41</v>
      </c>
      <c r="K435">
        <f t="shared" ref="K435" ca="1" si="429">IF(F435="Enrolled", TODAY()-E435, "")</f>
        <v>867</v>
      </c>
      <c r="M435">
        <f ca="1">IF(F435="Enrolled",TODAY() - E435,"")</f>
        <v>867</v>
      </c>
      <c r="N435" t="str">
        <f>IF(I437&gt;=3.5,"Excellent",IF(I437&gt;=3,"Good",IF(I437&gt;=2,"Average","Poor")))</f>
        <v>Average</v>
      </c>
      <c r="O435" t="e">
        <f>VLOOKUP(D435, $T$18:$U$23, 2, FALSE)</f>
        <v>#N/A</v>
      </c>
      <c r="P435" t="str">
        <f t="shared" ref="P435" si="430">IF(H435 &gt; 0.5 * G435, "YES", "NO")</f>
        <v>YES</v>
      </c>
      <c r="Q435">
        <f t="shared" si="386"/>
        <v>576494</v>
      </c>
      <c r="R435" t="str">
        <f>IF(MONTH(E429)&gt;=6, YEAR(E429) &amp; "-" &amp; YEAR(E429)+1, YEAR(E429)-1 &amp; "-" &amp; YEAR(E429))</f>
        <v>2023-2024</v>
      </c>
    </row>
    <row r="436" spans="1:18" hidden="1" x14ac:dyDescent="0.25">
      <c r="A436" t="s">
        <v>1090</v>
      </c>
      <c r="B436" t="s">
        <v>1091</v>
      </c>
      <c r="C436" t="s">
        <v>14</v>
      </c>
      <c r="D436" t="s">
        <v>9</v>
      </c>
      <c r="E436" s="1">
        <v>45023</v>
      </c>
      <c r="F436" t="s">
        <v>11</v>
      </c>
      <c r="G436">
        <v>9848</v>
      </c>
      <c r="H436">
        <v>4265</v>
      </c>
      <c r="I436">
        <v>3.47</v>
      </c>
      <c r="J436">
        <v>24</v>
      </c>
      <c r="Q436">
        <f t="shared" si="386"/>
        <v>576494</v>
      </c>
    </row>
    <row r="437" spans="1:18" x14ac:dyDescent="0.25">
      <c r="A437" t="s">
        <v>1092</v>
      </c>
      <c r="B437" t="s">
        <v>1093</v>
      </c>
      <c r="C437" t="s">
        <v>17</v>
      </c>
      <c r="D437" t="s">
        <v>25</v>
      </c>
      <c r="E437" t="s">
        <v>1094</v>
      </c>
      <c r="F437" t="s">
        <v>5</v>
      </c>
      <c r="G437">
        <v>3572</v>
      </c>
      <c r="H437">
        <v>2564</v>
      </c>
      <c r="I437">
        <v>2.58</v>
      </c>
      <c r="J437">
        <v>15</v>
      </c>
      <c r="K437">
        <f t="shared" ref="K437:K443" ca="1" si="431">IF(F437="Enrolled", TODAY()-E437, "")</f>
        <v>1204</v>
      </c>
      <c r="M437">
        <f t="shared" ref="M437:M443" ca="1" si="432">IF(F437="Enrolled",TODAY() - E437,"")</f>
        <v>1204</v>
      </c>
      <c r="N437" t="str">
        <f t="shared" ref="N437:N443" si="433">IF(I439&gt;=3.5,"Excellent",IF(I439&gt;=3,"Good",IF(I439&gt;=2,"Average","Poor")))</f>
        <v>Average</v>
      </c>
      <c r="O437" t="e">
        <f t="shared" ref="O437:O443" si="434">VLOOKUP(D437, $T$18:$U$23, 2, FALSE)</f>
        <v>#N/A</v>
      </c>
      <c r="P437" t="str">
        <f t="shared" ref="P437:P443" si="435">IF(H437 &gt; 0.5 * G437, "YES", "NO")</f>
        <v>YES</v>
      </c>
      <c r="Q437">
        <f t="shared" si="386"/>
        <v>566646</v>
      </c>
      <c r="R437" t="str">
        <f t="shared" ref="R437:R443" si="436">IF(MONTH(E431)&gt;=6, YEAR(E431) &amp; "-" &amp; YEAR(E431)+1, YEAR(E431)-1 &amp; "-" &amp; YEAR(E431))</f>
        <v>2022-2023</v>
      </c>
    </row>
    <row r="438" spans="1:18" x14ac:dyDescent="0.25">
      <c r="A438" t="s">
        <v>1095</v>
      </c>
      <c r="B438" t="s">
        <v>1096</v>
      </c>
      <c r="C438" t="s">
        <v>55</v>
      </c>
      <c r="D438" t="s">
        <v>25</v>
      </c>
      <c r="E438" t="s">
        <v>889</v>
      </c>
      <c r="F438" t="s">
        <v>5</v>
      </c>
      <c r="G438">
        <v>10473</v>
      </c>
      <c r="H438">
        <v>6758</v>
      </c>
      <c r="I438">
        <v>2.06</v>
      </c>
      <c r="J438">
        <v>89</v>
      </c>
      <c r="K438">
        <f t="shared" ca="1" si="431"/>
        <v>585</v>
      </c>
      <c r="M438">
        <f t="shared" ca="1" si="432"/>
        <v>585</v>
      </c>
      <c r="N438" t="str">
        <f t="shared" si="433"/>
        <v>Excellent</v>
      </c>
      <c r="O438" t="e">
        <f t="shared" si="434"/>
        <v>#N/A</v>
      </c>
      <c r="P438" t="str">
        <f t="shared" si="435"/>
        <v>YES</v>
      </c>
      <c r="Q438">
        <f t="shared" si="386"/>
        <v>566646</v>
      </c>
      <c r="R438" t="str">
        <f t="shared" si="436"/>
        <v>2021-2022</v>
      </c>
    </row>
    <row r="439" spans="1:18" x14ac:dyDescent="0.25">
      <c r="A439" t="s">
        <v>1097</v>
      </c>
      <c r="B439" t="s">
        <v>1098</v>
      </c>
      <c r="C439" t="s">
        <v>55</v>
      </c>
      <c r="D439" t="s">
        <v>3</v>
      </c>
      <c r="E439" s="1">
        <v>45326</v>
      </c>
      <c r="F439" t="s">
        <v>5</v>
      </c>
      <c r="G439">
        <v>14206</v>
      </c>
      <c r="H439">
        <v>7664</v>
      </c>
      <c r="I439">
        <v>2.93</v>
      </c>
      <c r="J439">
        <v>107</v>
      </c>
      <c r="K439">
        <f t="shared" ca="1" si="431"/>
        <v>641</v>
      </c>
      <c r="M439">
        <f t="shared" ca="1" si="432"/>
        <v>641</v>
      </c>
      <c r="N439" t="str">
        <f t="shared" si="433"/>
        <v>Good</v>
      </c>
      <c r="O439" t="e">
        <f t="shared" si="434"/>
        <v>#N/A</v>
      </c>
      <c r="P439" t="str">
        <f t="shared" si="435"/>
        <v>YES</v>
      </c>
      <c r="Q439">
        <f t="shared" si="386"/>
        <v>566646</v>
      </c>
      <c r="R439" t="str">
        <f t="shared" si="436"/>
        <v>2022-2023</v>
      </c>
    </row>
    <row r="440" spans="1:18" x14ac:dyDescent="0.25">
      <c r="A440" t="s">
        <v>1099</v>
      </c>
      <c r="B440" t="s">
        <v>1100</v>
      </c>
      <c r="C440" t="s">
        <v>21</v>
      </c>
      <c r="D440" t="s">
        <v>3</v>
      </c>
      <c r="E440" s="1">
        <v>45234</v>
      </c>
      <c r="F440" t="s">
        <v>5</v>
      </c>
      <c r="G440">
        <v>13152</v>
      </c>
      <c r="H440">
        <v>5009</v>
      </c>
      <c r="I440">
        <v>3.55</v>
      </c>
      <c r="J440">
        <v>32</v>
      </c>
      <c r="K440">
        <f t="shared" ca="1" si="431"/>
        <v>733</v>
      </c>
      <c r="M440">
        <f t="shared" ca="1" si="432"/>
        <v>733</v>
      </c>
      <c r="N440" t="str">
        <f t="shared" si="433"/>
        <v>Average</v>
      </c>
      <c r="O440" t="e">
        <f t="shared" si="434"/>
        <v>#N/A</v>
      </c>
      <c r="P440" t="str">
        <f t="shared" si="435"/>
        <v>NO</v>
      </c>
      <c r="Q440">
        <f t="shared" si="386"/>
        <v>566646</v>
      </c>
      <c r="R440" t="str">
        <f t="shared" si="436"/>
        <v>2023-2024</v>
      </c>
    </row>
    <row r="441" spans="1:18" x14ac:dyDescent="0.25">
      <c r="A441" t="s">
        <v>1101</v>
      </c>
      <c r="B441" t="s">
        <v>1102</v>
      </c>
      <c r="C441" t="s">
        <v>58</v>
      </c>
      <c r="D441" t="s">
        <v>9</v>
      </c>
      <c r="E441" t="s">
        <v>1103</v>
      </c>
      <c r="F441" t="s">
        <v>5</v>
      </c>
      <c r="G441">
        <v>4765</v>
      </c>
      <c r="H441">
        <v>8911</v>
      </c>
      <c r="I441">
        <v>3.2</v>
      </c>
      <c r="J441">
        <v>98</v>
      </c>
      <c r="K441">
        <f t="shared" ca="1" si="431"/>
        <v>831</v>
      </c>
      <c r="M441">
        <f t="shared" ca="1" si="432"/>
        <v>831</v>
      </c>
      <c r="N441" t="str">
        <f t="shared" si="433"/>
        <v>Excellent</v>
      </c>
      <c r="O441" t="e">
        <f t="shared" si="434"/>
        <v>#N/A</v>
      </c>
      <c r="P441" t="str">
        <f t="shared" si="435"/>
        <v>YES</v>
      </c>
      <c r="Q441">
        <f t="shared" si="386"/>
        <v>566646</v>
      </c>
      <c r="R441" t="str">
        <f t="shared" si="436"/>
        <v>2023-2024</v>
      </c>
    </row>
    <row r="442" spans="1:18" x14ac:dyDescent="0.25">
      <c r="A442" t="s">
        <v>1104</v>
      </c>
      <c r="B442" t="s">
        <v>1105</v>
      </c>
      <c r="C442" t="s">
        <v>2</v>
      </c>
      <c r="D442" t="s">
        <v>65</v>
      </c>
      <c r="E442" t="s">
        <v>1106</v>
      </c>
      <c r="F442" t="s">
        <v>5</v>
      </c>
      <c r="G442">
        <v>5955</v>
      </c>
      <c r="H442">
        <v>2658</v>
      </c>
      <c r="I442">
        <v>2.09</v>
      </c>
      <c r="J442">
        <v>28</v>
      </c>
      <c r="K442">
        <f t="shared" ca="1" si="431"/>
        <v>1082</v>
      </c>
      <c r="M442">
        <f t="shared" ca="1" si="432"/>
        <v>1082</v>
      </c>
      <c r="N442" t="str">
        <f t="shared" si="433"/>
        <v>Average</v>
      </c>
      <c r="O442" t="e">
        <f t="shared" si="434"/>
        <v>#N/A</v>
      </c>
      <c r="P442" t="str">
        <f t="shared" si="435"/>
        <v>NO</v>
      </c>
      <c r="Q442">
        <f t="shared" si="386"/>
        <v>566646</v>
      </c>
      <c r="R442" t="str">
        <f t="shared" si="436"/>
        <v>2022-2023</v>
      </c>
    </row>
    <row r="443" spans="1:18" x14ac:dyDescent="0.25">
      <c r="A443" t="s">
        <v>1107</v>
      </c>
      <c r="B443" t="s">
        <v>1108</v>
      </c>
      <c r="C443" t="s">
        <v>55</v>
      </c>
      <c r="D443" t="s">
        <v>25</v>
      </c>
      <c r="E443" s="1">
        <v>45356</v>
      </c>
      <c r="F443" t="s">
        <v>5</v>
      </c>
      <c r="G443">
        <v>7836</v>
      </c>
      <c r="H443">
        <v>4315</v>
      </c>
      <c r="I443">
        <v>3.51</v>
      </c>
      <c r="J443">
        <v>21</v>
      </c>
      <c r="K443">
        <f t="shared" ca="1" si="431"/>
        <v>611</v>
      </c>
      <c r="M443">
        <f t="shared" ca="1" si="432"/>
        <v>611</v>
      </c>
      <c r="N443" t="str">
        <f t="shared" si="433"/>
        <v>Average</v>
      </c>
      <c r="O443" t="e">
        <f t="shared" si="434"/>
        <v>#N/A</v>
      </c>
      <c r="P443" t="str">
        <f t="shared" si="435"/>
        <v>YES</v>
      </c>
      <c r="Q443">
        <f t="shared" si="386"/>
        <v>566646</v>
      </c>
      <c r="R443" t="str">
        <f t="shared" si="436"/>
        <v>2022-2023</v>
      </c>
    </row>
    <row r="444" spans="1:18" hidden="1" x14ac:dyDescent="0.25">
      <c r="A444" t="s">
        <v>1109</v>
      </c>
      <c r="B444" t="s">
        <v>1110</v>
      </c>
      <c r="C444" t="s">
        <v>55</v>
      </c>
      <c r="D444" t="s">
        <v>25</v>
      </c>
      <c r="E444" t="s">
        <v>1111</v>
      </c>
      <c r="F444" t="s">
        <v>36</v>
      </c>
      <c r="G444">
        <v>5721</v>
      </c>
      <c r="H444">
        <v>2408</v>
      </c>
      <c r="I444">
        <v>2.65</v>
      </c>
      <c r="J444">
        <v>95</v>
      </c>
      <c r="Q444">
        <f t="shared" si="386"/>
        <v>566646</v>
      </c>
    </row>
    <row r="445" spans="1:18" x14ac:dyDescent="0.25">
      <c r="A445" t="s">
        <v>1112</v>
      </c>
      <c r="B445" t="s">
        <v>1113</v>
      </c>
      <c r="C445" t="s">
        <v>8</v>
      </c>
      <c r="D445" t="s">
        <v>25</v>
      </c>
      <c r="E445" s="1">
        <v>45020</v>
      </c>
      <c r="F445" t="s">
        <v>5</v>
      </c>
      <c r="G445">
        <v>11681</v>
      </c>
      <c r="H445">
        <v>8380</v>
      </c>
      <c r="I445">
        <v>2.21</v>
      </c>
      <c r="J445">
        <v>116</v>
      </c>
      <c r="K445">
        <f t="shared" ref="K445:K446" ca="1" si="437">IF(F445="Enrolled", TODAY()-E445, "")</f>
        <v>947</v>
      </c>
      <c r="M445">
        <f t="shared" ref="M445:M446" ca="1" si="438">IF(F445="Enrolled",TODAY() - E445,"")</f>
        <v>947</v>
      </c>
      <c r="N445" t="str">
        <f t="shared" ref="N445:N446" si="439">IF(I447&gt;=3.5,"Excellent",IF(I447&gt;=3,"Good",IF(I447&gt;=2,"Average","Poor")))</f>
        <v>Average</v>
      </c>
      <c r="O445" t="e">
        <f t="shared" ref="O445:O446" si="440">VLOOKUP(D445, $T$18:$U$23, 2, FALSE)</f>
        <v>#N/A</v>
      </c>
      <c r="P445" t="str">
        <f t="shared" ref="P445:P446" si="441">IF(H445 &gt; 0.5 * G445, "YES", "NO")</f>
        <v>YES</v>
      </c>
      <c r="Q445">
        <f t="shared" si="386"/>
        <v>566646</v>
      </c>
      <c r="R445" t="str">
        <f t="shared" ref="R445:R446" si="442">IF(MONTH(E439)&gt;=6, YEAR(E439) &amp; "-" &amp; YEAR(E439)+1, YEAR(E439)-1 &amp; "-" &amp; YEAR(E439))</f>
        <v>2023-2024</v>
      </c>
    </row>
    <row r="446" spans="1:18" x14ac:dyDescent="0.25">
      <c r="A446" t="s">
        <v>1114</v>
      </c>
      <c r="B446" t="s">
        <v>1115</v>
      </c>
      <c r="C446" t="s">
        <v>58</v>
      </c>
      <c r="D446" t="s">
        <v>3</v>
      </c>
      <c r="E446" t="s">
        <v>1116</v>
      </c>
      <c r="F446" t="s">
        <v>5</v>
      </c>
      <c r="G446">
        <v>12943</v>
      </c>
      <c r="H446">
        <v>5191</v>
      </c>
      <c r="I446">
        <v>2.0099999999999998</v>
      </c>
      <c r="J446">
        <v>47</v>
      </c>
      <c r="K446">
        <f t="shared" ca="1" si="437"/>
        <v>1055</v>
      </c>
      <c r="M446">
        <f t="shared" ca="1" si="438"/>
        <v>1055</v>
      </c>
      <c r="N446" t="str">
        <f t="shared" si="439"/>
        <v>Good</v>
      </c>
      <c r="O446" t="e">
        <f t="shared" si="440"/>
        <v>#N/A</v>
      </c>
      <c r="P446" t="str">
        <f t="shared" si="441"/>
        <v>NO</v>
      </c>
      <c r="Q446">
        <f t="shared" si="386"/>
        <v>566646</v>
      </c>
      <c r="R446" t="str">
        <f t="shared" si="442"/>
        <v>2023-2024</v>
      </c>
    </row>
    <row r="447" spans="1:18" hidden="1" x14ac:dyDescent="0.25">
      <c r="A447" t="s">
        <v>1117</v>
      </c>
      <c r="B447" t="s">
        <v>1118</v>
      </c>
      <c r="C447" t="s">
        <v>58</v>
      </c>
      <c r="D447" t="s">
        <v>3</v>
      </c>
      <c r="E447" s="1">
        <v>45297</v>
      </c>
      <c r="F447" t="s">
        <v>36</v>
      </c>
      <c r="G447">
        <v>5062</v>
      </c>
      <c r="H447">
        <v>5198</v>
      </c>
      <c r="I447">
        <v>2.69</v>
      </c>
      <c r="J447">
        <v>20</v>
      </c>
      <c r="Q447">
        <f t="shared" si="386"/>
        <v>566646</v>
      </c>
    </row>
    <row r="448" spans="1:18" x14ac:dyDescent="0.25">
      <c r="A448" t="s">
        <v>1119</v>
      </c>
      <c r="B448" t="s">
        <v>1120</v>
      </c>
      <c r="C448" t="s">
        <v>21</v>
      </c>
      <c r="D448" t="s">
        <v>3</v>
      </c>
      <c r="E448" s="1">
        <v>45174</v>
      </c>
      <c r="F448" t="s">
        <v>5</v>
      </c>
      <c r="G448">
        <v>12038</v>
      </c>
      <c r="H448">
        <v>5910</v>
      </c>
      <c r="I448">
        <v>3.02</v>
      </c>
      <c r="J448">
        <v>117</v>
      </c>
      <c r="K448">
        <f t="shared" ref="K448:K450" ca="1" si="443">IF(F448="Enrolled", TODAY()-E448, "")</f>
        <v>793</v>
      </c>
      <c r="M448">
        <f t="shared" ref="M448:M450" ca="1" si="444">IF(F448="Enrolled",TODAY() - E448,"")</f>
        <v>793</v>
      </c>
      <c r="N448" t="str">
        <f t="shared" ref="N448:N450" si="445">IF(I450&gt;=3.5,"Excellent",IF(I450&gt;=3,"Good",IF(I450&gt;=2,"Average","Poor")))</f>
        <v>Excellent</v>
      </c>
      <c r="O448" t="e">
        <f t="shared" ref="O448:O450" si="446">VLOOKUP(D448, $T$18:$U$23, 2, FALSE)</f>
        <v>#N/A</v>
      </c>
      <c r="P448" t="str">
        <f t="shared" ref="P448:P450" si="447">IF(H448 &gt; 0.5 * G448, "YES", "NO")</f>
        <v>NO</v>
      </c>
      <c r="Q448">
        <f t="shared" si="386"/>
        <v>566646</v>
      </c>
      <c r="R448" t="str">
        <f t="shared" ref="R448:R450" si="448">IF(MONTH(E442)&gt;=6, YEAR(E442) &amp; "-" &amp; YEAR(E442)+1, YEAR(E442)-1 &amp; "-" &amp; YEAR(E442))</f>
        <v>2022-2023</v>
      </c>
    </row>
    <row r="449" spans="1:18" x14ac:dyDescent="0.25">
      <c r="A449" t="s">
        <v>1121</v>
      </c>
      <c r="B449" t="s">
        <v>1122</v>
      </c>
      <c r="C449" t="s">
        <v>14</v>
      </c>
      <c r="D449" t="s">
        <v>65</v>
      </c>
      <c r="E449" s="1">
        <v>44745</v>
      </c>
      <c r="F449" t="s">
        <v>5</v>
      </c>
      <c r="G449">
        <v>12484</v>
      </c>
      <c r="H449">
        <v>3462</v>
      </c>
      <c r="I449">
        <v>2.93</v>
      </c>
      <c r="J449">
        <v>41</v>
      </c>
      <c r="K449">
        <f t="shared" ca="1" si="443"/>
        <v>1222</v>
      </c>
      <c r="M449">
        <f t="shared" ca="1" si="444"/>
        <v>1222</v>
      </c>
      <c r="N449" t="str">
        <f t="shared" si="445"/>
        <v>Excellent</v>
      </c>
      <c r="O449" t="e">
        <f t="shared" si="446"/>
        <v>#N/A</v>
      </c>
      <c r="P449" t="str">
        <f t="shared" si="447"/>
        <v>NO</v>
      </c>
      <c r="Q449">
        <f t="shared" si="386"/>
        <v>566646</v>
      </c>
      <c r="R449" t="str">
        <f t="shared" si="448"/>
        <v>2023-2024</v>
      </c>
    </row>
    <row r="450" spans="1:18" x14ac:dyDescent="0.25">
      <c r="A450" t="s">
        <v>1123</v>
      </c>
      <c r="B450" t="s">
        <v>1124</v>
      </c>
      <c r="C450" t="s">
        <v>8</v>
      </c>
      <c r="D450" t="s">
        <v>9</v>
      </c>
      <c r="E450" t="s">
        <v>534</v>
      </c>
      <c r="F450" t="s">
        <v>5</v>
      </c>
      <c r="G450">
        <v>10278</v>
      </c>
      <c r="H450">
        <v>9891</v>
      </c>
      <c r="I450">
        <v>3.9</v>
      </c>
      <c r="J450">
        <v>105</v>
      </c>
      <c r="K450">
        <f t="shared" ca="1" si="443"/>
        <v>1237</v>
      </c>
      <c r="M450">
        <f t="shared" ca="1" si="444"/>
        <v>1237</v>
      </c>
      <c r="N450" t="str">
        <f t="shared" si="445"/>
        <v>Good</v>
      </c>
      <c r="O450" t="e">
        <f t="shared" si="446"/>
        <v>#N/A</v>
      </c>
      <c r="P450" t="str">
        <f t="shared" si="447"/>
        <v>YES</v>
      </c>
      <c r="Q450">
        <f t="shared" si="386"/>
        <v>566646</v>
      </c>
      <c r="R450" t="str">
        <f t="shared" si="448"/>
        <v>2023-2024</v>
      </c>
    </row>
    <row r="451" spans="1:18" hidden="1" x14ac:dyDescent="0.25">
      <c r="A451" t="s">
        <v>1125</v>
      </c>
      <c r="B451" t="s">
        <v>1126</v>
      </c>
      <c r="C451" t="s">
        <v>32</v>
      </c>
      <c r="D451" t="s">
        <v>65</v>
      </c>
      <c r="E451" t="s">
        <v>1127</v>
      </c>
      <c r="F451" t="s">
        <v>11</v>
      </c>
      <c r="G451">
        <v>14666</v>
      </c>
      <c r="H451">
        <v>8402</v>
      </c>
      <c r="I451">
        <v>3.55</v>
      </c>
      <c r="J451">
        <v>22</v>
      </c>
      <c r="Q451">
        <f t="shared" si="386"/>
        <v>566646</v>
      </c>
    </row>
    <row r="452" spans="1:18" x14ac:dyDescent="0.25">
      <c r="A452" t="s">
        <v>1128</v>
      </c>
      <c r="B452" t="s">
        <v>1129</v>
      </c>
      <c r="C452" t="s">
        <v>58</v>
      </c>
      <c r="D452" t="s">
        <v>65</v>
      </c>
      <c r="E452" s="1">
        <v>45234</v>
      </c>
      <c r="F452" t="s">
        <v>5</v>
      </c>
      <c r="G452">
        <v>5773</v>
      </c>
      <c r="H452">
        <v>2234</v>
      </c>
      <c r="I452">
        <v>3.22</v>
      </c>
      <c r="J452">
        <v>1</v>
      </c>
      <c r="K452">
        <f t="shared" ref="K452" ca="1" si="449">IF(F452="Enrolled", TODAY()-E452, "")</f>
        <v>733</v>
      </c>
      <c r="M452">
        <f ca="1">IF(F452="Enrolled",TODAY() - E452,"")</f>
        <v>733</v>
      </c>
      <c r="N452" t="str">
        <f>IF(I454&gt;=3.5,"Excellent",IF(I454&gt;=3,"Good",IF(I454&gt;=2,"Average","Poor")))</f>
        <v>Average</v>
      </c>
      <c r="O452" t="e">
        <f>VLOOKUP(D452, $T$18:$U$23, 2, FALSE)</f>
        <v>#N/A</v>
      </c>
      <c r="P452" t="str">
        <f t="shared" ref="P452" si="450">IF(H452 &gt; 0.5 * G452, "YES", "NO")</f>
        <v>NO</v>
      </c>
      <c r="Q452">
        <f t="shared" si="386"/>
        <v>566646</v>
      </c>
      <c r="R452" t="str">
        <f>IF(MONTH(E446)&gt;=6, YEAR(E446) &amp; "-" &amp; YEAR(E446)+1, YEAR(E446)-1 &amp; "-" &amp; YEAR(E446))</f>
        <v>2022-2023</v>
      </c>
    </row>
    <row r="453" spans="1:18" hidden="1" x14ac:dyDescent="0.25">
      <c r="A453" t="s">
        <v>1130</v>
      </c>
      <c r="B453" t="s">
        <v>1131</v>
      </c>
      <c r="C453" t="s">
        <v>8</v>
      </c>
      <c r="D453" t="s">
        <v>3</v>
      </c>
      <c r="E453" t="s">
        <v>1132</v>
      </c>
      <c r="F453" t="s">
        <v>11</v>
      </c>
      <c r="G453">
        <v>14561</v>
      </c>
      <c r="H453">
        <v>2548</v>
      </c>
      <c r="I453">
        <v>2.78</v>
      </c>
      <c r="J453">
        <v>73</v>
      </c>
      <c r="Q453">
        <f t="shared" si="386"/>
        <v>566646</v>
      </c>
    </row>
    <row r="454" spans="1:18" x14ac:dyDescent="0.25">
      <c r="A454" t="s">
        <v>1133</v>
      </c>
      <c r="B454" t="s">
        <v>1134</v>
      </c>
      <c r="C454" t="s">
        <v>8</v>
      </c>
      <c r="D454" t="s">
        <v>65</v>
      </c>
      <c r="E454" t="s">
        <v>1135</v>
      </c>
      <c r="F454" t="s">
        <v>5</v>
      </c>
      <c r="G454">
        <v>10266</v>
      </c>
      <c r="H454">
        <v>7787</v>
      </c>
      <c r="I454">
        <v>2.36</v>
      </c>
      <c r="J454">
        <v>97</v>
      </c>
      <c r="K454">
        <f t="shared" ref="K454:K455" ca="1" si="451">IF(F454="Enrolled", TODAY()-E454, "")</f>
        <v>1302</v>
      </c>
      <c r="M454">
        <f t="shared" ref="M454:M455" ca="1" si="452">IF(F454="Enrolled",TODAY() - E454,"")</f>
        <v>1302</v>
      </c>
      <c r="N454" t="str">
        <f t="shared" ref="N454:N455" si="453">IF(I456&gt;=3.5,"Excellent",IF(I456&gt;=3,"Good",IF(I456&gt;=2,"Average","Poor")))</f>
        <v>Average</v>
      </c>
      <c r="O454" t="e">
        <f t="shared" ref="O454:O455" si="454">VLOOKUP(D454, $T$18:$U$23, 2, FALSE)</f>
        <v>#N/A</v>
      </c>
      <c r="P454" t="str">
        <f t="shared" ref="P454:P455" si="455">IF(H454 &gt; 0.5 * G454, "YES", "NO")</f>
        <v>YES</v>
      </c>
      <c r="Q454">
        <f t="shared" si="386"/>
        <v>566646</v>
      </c>
      <c r="R454" t="str">
        <f t="shared" ref="R454:R455" si="456">IF(MONTH(E448)&gt;=6, YEAR(E448) &amp; "-" &amp; YEAR(E448)+1, YEAR(E448)-1 &amp; "-" &amp; YEAR(E448))</f>
        <v>2023-2024</v>
      </c>
    </row>
    <row r="455" spans="1:18" x14ac:dyDescent="0.25">
      <c r="A455" t="s">
        <v>1136</v>
      </c>
      <c r="B455" t="s">
        <v>1137</v>
      </c>
      <c r="C455" t="s">
        <v>58</v>
      </c>
      <c r="D455" t="s">
        <v>65</v>
      </c>
      <c r="E455" s="1">
        <v>45147</v>
      </c>
      <c r="F455" t="s">
        <v>5</v>
      </c>
      <c r="G455">
        <v>7631</v>
      </c>
      <c r="H455">
        <v>3737</v>
      </c>
      <c r="I455">
        <v>3.84</v>
      </c>
      <c r="J455">
        <v>84</v>
      </c>
      <c r="K455">
        <f t="shared" ca="1" si="451"/>
        <v>820</v>
      </c>
      <c r="M455">
        <f t="shared" ca="1" si="452"/>
        <v>820</v>
      </c>
      <c r="N455" t="str">
        <f t="shared" si="453"/>
        <v>Excellent</v>
      </c>
      <c r="O455" t="e">
        <f t="shared" si="454"/>
        <v>#N/A</v>
      </c>
      <c r="P455" t="str">
        <f t="shared" si="455"/>
        <v>NO</v>
      </c>
      <c r="Q455">
        <f t="shared" si="386"/>
        <v>566646</v>
      </c>
      <c r="R455" t="str">
        <f t="shared" si="456"/>
        <v>2022-2023</v>
      </c>
    </row>
    <row r="456" spans="1:18" hidden="1" x14ac:dyDescent="0.25">
      <c r="A456" t="s">
        <v>1138</v>
      </c>
      <c r="B456" t="s">
        <v>1139</v>
      </c>
      <c r="C456" t="s">
        <v>8</v>
      </c>
      <c r="D456" t="s">
        <v>3</v>
      </c>
      <c r="E456" t="s">
        <v>501</v>
      </c>
      <c r="F456" t="s">
        <v>36</v>
      </c>
      <c r="G456">
        <v>8113</v>
      </c>
      <c r="H456">
        <v>5772</v>
      </c>
      <c r="I456">
        <v>2.13</v>
      </c>
      <c r="J456">
        <v>23</v>
      </c>
      <c r="Q456">
        <f t="shared" si="386"/>
        <v>566646</v>
      </c>
    </row>
    <row r="457" spans="1:18" hidden="1" x14ac:dyDescent="0.25">
      <c r="A457" t="s">
        <v>1140</v>
      </c>
      <c r="B457" t="s">
        <v>1141</v>
      </c>
      <c r="C457" t="s">
        <v>55</v>
      </c>
      <c r="D457" t="s">
        <v>25</v>
      </c>
      <c r="E457" t="s">
        <v>1142</v>
      </c>
      <c r="F457" t="s">
        <v>36</v>
      </c>
      <c r="G457">
        <v>8188</v>
      </c>
      <c r="H457">
        <v>5814</v>
      </c>
      <c r="I457">
        <v>3.94</v>
      </c>
      <c r="J457">
        <v>48</v>
      </c>
      <c r="Q457">
        <f t="shared" si="386"/>
        <v>566646</v>
      </c>
    </row>
    <row r="458" spans="1:18" x14ac:dyDescent="0.25">
      <c r="A458" t="s">
        <v>1143</v>
      </c>
      <c r="B458" t="s">
        <v>1144</v>
      </c>
      <c r="C458" t="s">
        <v>32</v>
      </c>
      <c r="D458" t="s">
        <v>3</v>
      </c>
      <c r="E458" t="s">
        <v>1145</v>
      </c>
      <c r="F458" t="s">
        <v>5</v>
      </c>
      <c r="G458">
        <v>11072</v>
      </c>
      <c r="H458">
        <v>3466</v>
      </c>
      <c r="I458">
        <v>2.4700000000000002</v>
      </c>
      <c r="J458">
        <v>2</v>
      </c>
      <c r="K458">
        <f t="shared" ref="K458:K459" ca="1" si="457">IF(F458="Enrolled", TODAY()-E458, "")</f>
        <v>570</v>
      </c>
      <c r="M458">
        <f t="shared" ref="M458:M459" ca="1" si="458">IF(F458="Enrolled",TODAY() - E458,"")</f>
        <v>570</v>
      </c>
      <c r="N458" t="str">
        <f t="shared" ref="N458:N459" si="459">IF(I460&gt;=3.5,"Excellent",IF(I460&gt;=3,"Good",IF(I460&gt;=2,"Average","Poor")))</f>
        <v>Average</v>
      </c>
      <c r="O458" t="e">
        <f t="shared" ref="O458:O459" si="460">VLOOKUP(D458, $T$18:$U$23, 2, FALSE)</f>
        <v>#N/A</v>
      </c>
      <c r="P458" t="str">
        <f t="shared" ref="P458:P459" si="461">IF(H458 &gt; 0.5 * G458, "YES", "NO")</f>
        <v>NO</v>
      </c>
      <c r="Q458">
        <f t="shared" si="386"/>
        <v>566646</v>
      </c>
      <c r="R458" t="str">
        <f t="shared" ref="R458:R459" si="462">IF(MONTH(E452)&gt;=6, YEAR(E452) &amp; "-" &amp; YEAR(E452)+1, YEAR(E452)-1 &amp; "-" &amp; YEAR(E452))</f>
        <v>2023-2024</v>
      </c>
    </row>
    <row r="459" spans="1:18" x14ac:dyDescent="0.25">
      <c r="A459" t="s">
        <v>1146</v>
      </c>
      <c r="B459" t="s">
        <v>1147</v>
      </c>
      <c r="C459" t="s">
        <v>17</v>
      </c>
      <c r="D459" t="s">
        <v>25</v>
      </c>
      <c r="E459" t="s">
        <v>1148</v>
      </c>
      <c r="F459" t="s">
        <v>5</v>
      </c>
      <c r="G459">
        <v>10070</v>
      </c>
      <c r="H459">
        <v>6381</v>
      </c>
      <c r="I459">
        <v>2.36</v>
      </c>
      <c r="J459">
        <v>111</v>
      </c>
      <c r="K459">
        <f t="shared" ca="1" si="457"/>
        <v>629</v>
      </c>
      <c r="M459">
        <f t="shared" ca="1" si="458"/>
        <v>629</v>
      </c>
      <c r="N459" t="str">
        <f t="shared" si="459"/>
        <v>Average</v>
      </c>
      <c r="O459" t="e">
        <f t="shared" si="460"/>
        <v>#N/A</v>
      </c>
      <c r="P459" t="str">
        <f t="shared" si="461"/>
        <v>YES</v>
      </c>
      <c r="Q459">
        <f t="shared" si="386"/>
        <v>566646</v>
      </c>
      <c r="R459" t="str">
        <f t="shared" si="462"/>
        <v>2023-2024</v>
      </c>
    </row>
    <row r="460" spans="1:18" hidden="1" x14ac:dyDescent="0.25">
      <c r="A460" t="s">
        <v>1149</v>
      </c>
      <c r="B460" t="s">
        <v>1150</v>
      </c>
      <c r="C460" t="s">
        <v>17</v>
      </c>
      <c r="D460" t="s">
        <v>9</v>
      </c>
      <c r="E460" t="s">
        <v>1151</v>
      </c>
      <c r="F460" t="s">
        <v>11</v>
      </c>
      <c r="G460">
        <v>10311</v>
      </c>
      <c r="H460">
        <v>1376</v>
      </c>
      <c r="I460">
        <v>2.76</v>
      </c>
      <c r="J460">
        <v>104</v>
      </c>
      <c r="Q460">
        <f t="shared" si="386"/>
        <v>566646</v>
      </c>
    </row>
    <row r="461" spans="1:18" x14ac:dyDescent="0.25">
      <c r="A461" t="s">
        <v>1152</v>
      </c>
      <c r="B461" t="s">
        <v>1153</v>
      </c>
      <c r="C461" t="s">
        <v>32</v>
      </c>
      <c r="D461" t="s">
        <v>25</v>
      </c>
      <c r="E461" t="s">
        <v>1154</v>
      </c>
      <c r="F461" t="s">
        <v>5</v>
      </c>
      <c r="G461">
        <v>7796</v>
      </c>
      <c r="H461">
        <v>7561</v>
      </c>
      <c r="I461">
        <v>2.42</v>
      </c>
      <c r="J461">
        <v>102</v>
      </c>
      <c r="K461">
        <f t="shared" ref="K461:K462" ca="1" si="463">IF(F461="Enrolled", TODAY()-E461, "")</f>
        <v>659</v>
      </c>
      <c r="M461">
        <f t="shared" ref="M461:M462" ca="1" si="464">IF(F461="Enrolled",TODAY() - E461,"")</f>
        <v>659</v>
      </c>
      <c r="N461" t="str">
        <f t="shared" ref="N461:N462" si="465">IF(I463&gt;=3.5,"Excellent",IF(I463&gt;=3,"Good",IF(I463&gt;=2,"Average","Poor")))</f>
        <v>Average</v>
      </c>
      <c r="O461" t="e">
        <f t="shared" ref="O461:O462" si="466">VLOOKUP(D461, $T$18:$U$23, 2, FALSE)</f>
        <v>#N/A</v>
      </c>
      <c r="P461" t="str">
        <f t="shared" ref="P461:P462" si="467">IF(H461 &gt; 0.5 * G461, "YES", "NO")</f>
        <v>YES</v>
      </c>
      <c r="Q461">
        <f t="shared" ref="Q461:Q524" si="468">SUMIFS(G461:G1659, F461:F1659, "Completed", D461:D1659, "Science")</f>
        <v>556335</v>
      </c>
      <c r="R461" t="str">
        <f t="shared" ref="R461:R462" si="469">IF(MONTH(E455)&gt;=6, YEAR(E455) &amp; "-" &amp; YEAR(E455)+1, YEAR(E455)-1 &amp; "-" &amp; YEAR(E455))</f>
        <v>2023-2024</v>
      </c>
    </row>
    <row r="462" spans="1:18" x14ac:dyDescent="0.25">
      <c r="A462" t="s">
        <v>1155</v>
      </c>
      <c r="B462" t="s">
        <v>1156</v>
      </c>
      <c r="C462" t="s">
        <v>8</v>
      </c>
      <c r="D462" t="s">
        <v>9</v>
      </c>
      <c r="E462" t="s">
        <v>1157</v>
      </c>
      <c r="F462" t="s">
        <v>5</v>
      </c>
      <c r="G462">
        <v>3923</v>
      </c>
      <c r="H462">
        <v>9125</v>
      </c>
      <c r="I462">
        <v>3.36</v>
      </c>
      <c r="J462">
        <v>63</v>
      </c>
      <c r="K462">
        <f t="shared" ca="1" si="463"/>
        <v>601</v>
      </c>
      <c r="M462">
        <f t="shared" ca="1" si="464"/>
        <v>601</v>
      </c>
      <c r="N462" t="str">
        <f t="shared" si="465"/>
        <v>Average</v>
      </c>
      <c r="O462" t="e">
        <f t="shared" si="466"/>
        <v>#N/A</v>
      </c>
      <c r="P462" t="str">
        <f t="shared" si="467"/>
        <v>YES</v>
      </c>
      <c r="Q462">
        <f t="shared" si="468"/>
        <v>556335</v>
      </c>
      <c r="R462" t="str">
        <f t="shared" si="469"/>
        <v>2021-2022</v>
      </c>
    </row>
    <row r="463" spans="1:18" hidden="1" x14ac:dyDescent="0.25">
      <c r="A463" t="s">
        <v>1158</v>
      </c>
      <c r="B463" t="s">
        <v>1159</v>
      </c>
      <c r="C463" t="s">
        <v>58</v>
      </c>
      <c r="D463" t="s">
        <v>9</v>
      </c>
      <c r="E463" s="1">
        <v>45232</v>
      </c>
      <c r="F463" t="s">
        <v>11</v>
      </c>
      <c r="G463">
        <v>11697</v>
      </c>
      <c r="H463">
        <v>6392</v>
      </c>
      <c r="I463">
        <v>2.61</v>
      </c>
      <c r="J463">
        <v>3</v>
      </c>
      <c r="Q463">
        <f t="shared" si="468"/>
        <v>556335</v>
      </c>
    </row>
    <row r="464" spans="1:18" x14ac:dyDescent="0.25">
      <c r="A464" t="s">
        <v>1160</v>
      </c>
      <c r="B464" t="s">
        <v>1161</v>
      </c>
      <c r="C464" t="s">
        <v>21</v>
      </c>
      <c r="D464" t="s">
        <v>9</v>
      </c>
      <c r="E464" t="s">
        <v>401</v>
      </c>
      <c r="F464" t="s">
        <v>5</v>
      </c>
      <c r="G464">
        <v>2666</v>
      </c>
      <c r="H464">
        <v>2729</v>
      </c>
      <c r="I464">
        <v>2.94</v>
      </c>
      <c r="J464">
        <v>10</v>
      </c>
      <c r="K464">
        <f t="shared" ref="K464:K465" ca="1" si="470">IF(F464="Enrolled", TODAY()-E464, "")</f>
        <v>527</v>
      </c>
      <c r="M464">
        <f t="shared" ref="M464:M465" ca="1" si="471">IF(F464="Enrolled",TODAY() - E464,"")</f>
        <v>527</v>
      </c>
      <c r="N464" t="str">
        <f t="shared" ref="N464:N465" si="472">IF(I466&gt;=3.5,"Excellent",IF(I466&gt;=3,"Good",IF(I466&gt;=2,"Average","Poor")))</f>
        <v>Average</v>
      </c>
      <c r="O464" t="e">
        <f t="shared" ref="O464:O465" si="473">VLOOKUP(D464, $T$18:$U$23, 2, FALSE)</f>
        <v>#N/A</v>
      </c>
      <c r="P464" t="str">
        <f t="shared" ref="P464:P465" si="474">IF(H464 &gt; 0.5 * G464, "YES", "NO")</f>
        <v>YES</v>
      </c>
      <c r="Q464">
        <f t="shared" si="468"/>
        <v>544638</v>
      </c>
      <c r="R464" t="str">
        <f t="shared" ref="R464:R465" si="475">IF(MONTH(E458)&gt;=6, YEAR(E458) &amp; "-" &amp; YEAR(E458)+1, YEAR(E458)-1 &amp; "-" &amp; YEAR(E458))</f>
        <v>2023-2024</v>
      </c>
    </row>
    <row r="465" spans="1:18" x14ac:dyDescent="0.25">
      <c r="A465" t="s">
        <v>1162</v>
      </c>
      <c r="B465" t="s">
        <v>1163</v>
      </c>
      <c r="C465" t="s">
        <v>2</v>
      </c>
      <c r="D465" t="s">
        <v>65</v>
      </c>
      <c r="E465" t="s">
        <v>104</v>
      </c>
      <c r="F465" t="s">
        <v>5</v>
      </c>
      <c r="G465">
        <v>7947</v>
      </c>
      <c r="H465">
        <v>1</v>
      </c>
      <c r="I465">
        <v>3.25</v>
      </c>
      <c r="J465">
        <v>60</v>
      </c>
      <c r="K465">
        <f t="shared" ca="1" si="470"/>
        <v>1317</v>
      </c>
      <c r="M465">
        <f t="shared" ca="1" si="471"/>
        <v>1317</v>
      </c>
      <c r="N465" t="str">
        <f t="shared" si="472"/>
        <v>Good</v>
      </c>
      <c r="O465" t="e">
        <f t="shared" si="473"/>
        <v>#N/A</v>
      </c>
      <c r="P465" t="str">
        <f t="shared" si="474"/>
        <v>NO</v>
      </c>
      <c r="Q465">
        <f t="shared" si="468"/>
        <v>544638</v>
      </c>
      <c r="R465" t="str">
        <f t="shared" si="475"/>
        <v>2023-2024</v>
      </c>
    </row>
    <row r="466" spans="1:18" hidden="1" x14ac:dyDescent="0.25">
      <c r="A466" t="s">
        <v>1164</v>
      </c>
      <c r="B466" t="s">
        <v>1165</v>
      </c>
      <c r="C466" t="s">
        <v>14</v>
      </c>
      <c r="D466" t="s">
        <v>25</v>
      </c>
      <c r="E466" t="s">
        <v>1166</v>
      </c>
      <c r="F466" t="s">
        <v>11</v>
      </c>
      <c r="G466">
        <v>10596</v>
      </c>
      <c r="H466">
        <v>9803</v>
      </c>
      <c r="I466">
        <v>2.16</v>
      </c>
      <c r="J466">
        <v>118</v>
      </c>
      <c r="Q466">
        <f t="shared" si="468"/>
        <v>544638</v>
      </c>
    </row>
    <row r="467" spans="1:18" x14ac:dyDescent="0.25">
      <c r="A467" t="s">
        <v>1167</v>
      </c>
      <c r="B467" t="s">
        <v>1168</v>
      </c>
      <c r="C467" t="s">
        <v>55</v>
      </c>
      <c r="D467" t="s">
        <v>25</v>
      </c>
      <c r="E467" s="1">
        <v>44629</v>
      </c>
      <c r="F467" t="s">
        <v>5</v>
      </c>
      <c r="G467">
        <v>8634</v>
      </c>
      <c r="H467">
        <v>3087</v>
      </c>
      <c r="I467">
        <v>3.44</v>
      </c>
      <c r="J467">
        <v>41</v>
      </c>
      <c r="K467">
        <f t="shared" ref="K467" ca="1" si="476">IF(F467="Enrolled", TODAY()-E467, "")</f>
        <v>1338</v>
      </c>
      <c r="M467">
        <f ca="1">IF(F467="Enrolled",TODAY() - E467,"")</f>
        <v>1338</v>
      </c>
      <c r="N467" t="str">
        <f>IF(I469&gt;=3.5,"Excellent",IF(I469&gt;=3,"Good",IF(I469&gt;=2,"Average","Poor")))</f>
        <v>Average</v>
      </c>
      <c r="O467" t="e">
        <f>VLOOKUP(D467, $T$18:$U$23, 2, FALSE)</f>
        <v>#N/A</v>
      </c>
      <c r="P467" t="str">
        <f t="shared" ref="P467" si="477">IF(H467 &gt; 0.5 * G467, "YES", "NO")</f>
        <v>NO</v>
      </c>
      <c r="Q467">
        <f t="shared" si="468"/>
        <v>544638</v>
      </c>
      <c r="R467" t="str">
        <f>IF(MONTH(E461)&gt;=6, YEAR(E461) &amp; "-" &amp; YEAR(E461)+1, YEAR(E461)-1 &amp; "-" &amp; YEAR(E461))</f>
        <v>2023-2024</v>
      </c>
    </row>
    <row r="468" spans="1:18" hidden="1" x14ac:dyDescent="0.25">
      <c r="A468" t="s">
        <v>1169</v>
      </c>
      <c r="B468" t="s">
        <v>1170</v>
      </c>
      <c r="C468" t="s">
        <v>21</v>
      </c>
      <c r="D468" t="s">
        <v>25</v>
      </c>
      <c r="E468" t="s">
        <v>701</v>
      </c>
      <c r="F468" t="s">
        <v>11</v>
      </c>
      <c r="G468">
        <v>10367</v>
      </c>
      <c r="H468">
        <v>4879</v>
      </c>
      <c r="I468">
        <v>3.24</v>
      </c>
      <c r="J468">
        <v>110</v>
      </c>
      <c r="Q468">
        <f t="shared" si="468"/>
        <v>544638</v>
      </c>
    </row>
    <row r="469" spans="1:18" hidden="1" x14ac:dyDescent="0.25">
      <c r="A469" t="s">
        <v>1171</v>
      </c>
      <c r="B469" t="s">
        <v>1172</v>
      </c>
      <c r="C469" t="s">
        <v>8</v>
      </c>
      <c r="D469" t="s">
        <v>3</v>
      </c>
      <c r="E469" t="s">
        <v>759</v>
      </c>
      <c r="F469" t="s">
        <v>11</v>
      </c>
      <c r="G469">
        <v>10339</v>
      </c>
      <c r="H469">
        <v>2913</v>
      </c>
      <c r="I469">
        <v>2.92</v>
      </c>
      <c r="J469">
        <v>49</v>
      </c>
      <c r="Q469">
        <f t="shared" si="468"/>
        <v>544638</v>
      </c>
    </row>
    <row r="470" spans="1:18" hidden="1" x14ac:dyDescent="0.25">
      <c r="A470" t="s">
        <v>1173</v>
      </c>
      <c r="B470" t="s">
        <v>1174</v>
      </c>
      <c r="C470" t="s">
        <v>58</v>
      </c>
      <c r="D470" t="s">
        <v>3</v>
      </c>
      <c r="E470" t="s">
        <v>1175</v>
      </c>
      <c r="F470" t="s">
        <v>11</v>
      </c>
      <c r="G470">
        <v>5503</v>
      </c>
      <c r="H470">
        <v>9605</v>
      </c>
      <c r="I470">
        <v>3.96</v>
      </c>
      <c r="J470">
        <v>35</v>
      </c>
      <c r="Q470">
        <f t="shared" si="468"/>
        <v>544638</v>
      </c>
    </row>
    <row r="471" spans="1:18" hidden="1" x14ac:dyDescent="0.25">
      <c r="A471" t="s">
        <v>1176</v>
      </c>
      <c r="B471" t="s">
        <v>1177</v>
      </c>
      <c r="C471" t="s">
        <v>17</v>
      </c>
      <c r="D471" t="s">
        <v>9</v>
      </c>
      <c r="E471" s="1">
        <v>45263</v>
      </c>
      <c r="F471" t="s">
        <v>11</v>
      </c>
      <c r="G471">
        <v>7289</v>
      </c>
      <c r="H471">
        <v>3200</v>
      </c>
      <c r="I471">
        <v>3.83</v>
      </c>
      <c r="J471">
        <v>73</v>
      </c>
      <c r="Q471">
        <f t="shared" si="468"/>
        <v>544638</v>
      </c>
    </row>
    <row r="472" spans="1:18" x14ac:dyDescent="0.25">
      <c r="A472" t="s">
        <v>1178</v>
      </c>
      <c r="B472" t="s">
        <v>1179</v>
      </c>
      <c r="C472" t="s">
        <v>17</v>
      </c>
      <c r="D472" t="s">
        <v>3</v>
      </c>
      <c r="E472" s="1">
        <v>44625</v>
      </c>
      <c r="F472" t="s">
        <v>5</v>
      </c>
      <c r="G472">
        <v>11474</v>
      </c>
      <c r="H472">
        <v>6902</v>
      </c>
      <c r="I472">
        <v>3.46</v>
      </c>
      <c r="J472">
        <v>91</v>
      </c>
      <c r="K472">
        <f t="shared" ref="K472" ca="1" si="478">IF(F472="Enrolled", TODAY()-E472, "")</f>
        <v>1342</v>
      </c>
      <c r="M472">
        <f ca="1">IF(F472="Enrolled",TODAY() - E472,"")</f>
        <v>1342</v>
      </c>
      <c r="N472" t="str">
        <f>IF(I474&gt;=3.5,"Excellent",IF(I474&gt;=3,"Good",IF(I474&gt;=2,"Average","Poor")))</f>
        <v>Good</v>
      </c>
      <c r="O472" t="e">
        <f>VLOOKUP(D472, $T$18:$U$23, 2, FALSE)</f>
        <v>#N/A</v>
      </c>
      <c r="P472" t="str">
        <f t="shared" ref="P472" si="479">IF(H472 &gt; 0.5 * G472, "YES", "NO")</f>
        <v>YES</v>
      </c>
      <c r="Q472">
        <f t="shared" si="468"/>
        <v>537349</v>
      </c>
      <c r="R472" t="str">
        <f>IF(MONTH(E466)&gt;=6, YEAR(E466) &amp; "-" &amp; YEAR(E466)+1, YEAR(E466)-1 &amp; "-" &amp; YEAR(E466))</f>
        <v>2022-2023</v>
      </c>
    </row>
    <row r="473" spans="1:18" hidden="1" x14ac:dyDescent="0.25">
      <c r="A473" t="s">
        <v>1180</v>
      </c>
      <c r="B473" t="s">
        <v>1181</v>
      </c>
      <c r="C473" t="s">
        <v>21</v>
      </c>
      <c r="D473" t="s">
        <v>3</v>
      </c>
      <c r="E473" s="1">
        <v>45387</v>
      </c>
      <c r="F473" t="s">
        <v>36</v>
      </c>
      <c r="G473">
        <v>10970</v>
      </c>
      <c r="H473">
        <v>8625</v>
      </c>
      <c r="I473">
        <v>3.51</v>
      </c>
      <c r="J473">
        <v>9</v>
      </c>
      <c r="Q473">
        <f t="shared" si="468"/>
        <v>537349</v>
      </c>
    </row>
    <row r="474" spans="1:18" hidden="1" x14ac:dyDescent="0.25">
      <c r="A474" t="s">
        <v>1182</v>
      </c>
      <c r="B474" t="s">
        <v>1183</v>
      </c>
      <c r="C474" t="s">
        <v>17</v>
      </c>
      <c r="D474" t="s">
        <v>3</v>
      </c>
      <c r="E474" t="s">
        <v>1184</v>
      </c>
      <c r="F474" t="s">
        <v>11</v>
      </c>
      <c r="G474">
        <v>10927</v>
      </c>
      <c r="H474">
        <v>1469</v>
      </c>
      <c r="I474">
        <v>3.19</v>
      </c>
      <c r="J474">
        <v>31</v>
      </c>
      <c r="Q474">
        <f t="shared" si="468"/>
        <v>537349</v>
      </c>
    </row>
    <row r="475" spans="1:18" x14ac:dyDescent="0.25">
      <c r="A475" t="s">
        <v>1185</v>
      </c>
      <c r="B475" t="s">
        <v>1186</v>
      </c>
      <c r="C475" t="s">
        <v>32</v>
      </c>
      <c r="D475" t="s">
        <v>65</v>
      </c>
      <c r="E475" t="s">
        <v>759</v>
      </c>
      <c r="F475" t="s">
        <v>5</v>
      </c>
      <c r="G475">
        <v>8469</v>
      </c>
      <c r="H475">
        <v>371</v>
      </c>
      <c r="I475">
        <v>3.71</v>
      </c>
      <c r="J475">
        <v>9</v>
      </c>
      <c r="K475">
        <f t="shared" ref="K475:K480" ca="1" si="480">IF(F475="Enrolled", TODAY()-E475, "")</f>
        <v>1202</v>
      </c>
      <c r="M475">
        <f t="shared" ref="M475:M480" ca="1" si="481">IF(F475="Enrolled",TODAY() - E475,"")</f>
        <v>1202</v>
      </c>
      <c r="N475" t="str">
        <f t="shared" ref="N475:N480" si="482">IF(I477&gt;=3.5,"Excellent",IF(I477&gt;=3,"Good",IF(I477&gt;=2,"Average","Poor")))</f>
        <v>Average</v>
      </c>
      <c r="O475" t="e">
        <f t="shared" ref="O475:O480" si="483">VLOOKUP(D475, $T$18:$U$23, 2, FALSE)</f>
        <v>#N/A</v>
      </c>
      <c r="P475" t="str">
        <f t="shared" ref="P475:P480" si="484">IF(H475 &gt; 0.5 * G475, "YES", "NO")</f>
        <v>NO</v>
      </c>
      <c r="Q475">
        <f t="shared" si="468"/>
        <v>537349</v>
      </c>
      <c r="R475" t="str">
        <f t="shared" ref="R475:R480" si="485">IF(MONTH(E469)&gt;=6, YEAR(E469) &amp; "-" &amp; YEAR(E469)+1, YEAR(E469)-1 &amp; "-" &amp; YEAR(E469))</f>
        <v>2022-2023</v>
      </c>
    </row>
    <row r="476" spans="1:18" x14ac:dyDescent="0.25">
      <c r="A476" t="s">
        <v>1187</v>
      </c>
      <c r="B476" t="s">
        <v>1188</v>
      </c>
      <c r="C476" t="s">
        <v>58</v>
      </c>
      <c r="D476" t="s">
        <v>25</v>
      </c>
      <c r="E476" s="1">
        <v>44627</v>
      </c>
      <c r="F476" t="s">
        <v>5</v>
      </c>
      <c r="G476">
        <v>13334</v>
      </c>
      <c r="H476">
        <v>2799</v>
      </c>
      <c r="I476">
        <v>3.97</v>
      </c>
      <c r="J476">
        <v>57</v>
      </c>
      <c r="K476">
        <f t="shared" ca="1" si="480"/>
        <v>1340</v>
      </c>
      <c r="M476">
        <f t="shared" ca="1" si="481"/>
        <v>1340</v>
      </c>
      <c r="N476" t="str">
        <f t="shared" si="482"/>
        <v>Excellent</v>
      </c>
      <c r="O476" t="e">
        <f t="shared" si="483"/>
        <v>#N/A</v>
      </c>
      <c r="P476" t="str">
        <f t="shared" si="484"/>
        <v>NO</v>
      </c>
      <c r="Q476">
        <f t="shared" si="468"/>
        <v>537349</v>
      </c>
      <c r="R476" t="str">
        <f t="shared" si="485"/>
        <v>2023-2024</v>
      </c>
    </row>
    <row r="477" spans="1:18" x14ac:dyDescent="0.25">
      <c r="A477" t="s">
        <v>1189</v>
      </c>
      <c r="B477" t="s">
        <v>1190</v>
      </c>
      <c r="C477" t="s">
        <v>17</v>
      </c>
      <c r="D477" t="s">
        <v>65</v>
      </c>
      <c r="E477" t="s">
        <v>39</v>
      </c>
      <c r="F477" t="s">
        <v>5</v>
      </c>
      <c r="G477">
        <v>11400</v>
      </c>
      <c r="H477">
        <v>8573</v>
      </c>
      <c r="I477">
        <v>2.76</v>
      </c>
      <c r="J477">
        <v>0</v>
      </c>
      <c r="K477">
        <f t="shared" ca="1" si="480"/>
        <v>1086</v>
      </c>
      <c r="M477">
        <f t="shared" ca="1" si="481"/>
        <v>1086</v>
      </c>
      <c r="N477" t="str">
        <f t="shared" si="482"/>
        <v>Excellent</v>
      </c>
      <c r="O477" t="e">
        <f t="shared" si="483"/>
        <v>#N/A</v>
      </c>
      <c r="P477" t="str">
        <f t="shared" si="484"/>
        <v>YES</v>
      </c>
      <c r="Q477">
        <f t="shared" si="468"/>
        <v>537349</v>
      </c>
      <c r="R477" t="str">
        <f t="shared" si="485"/>
        <v>2023-2024</v>
      </c>
    </row>
    <row r="478" spans="1:18" x14ac:dyDescent="0.25">
      <c r="A478" t="s">
        <v>1191</v>
      </c>
      <c r="B478" t="s">
        <v>1192</v>
      </c>
      <c r="C478" t="s">
        <v>2</v>
      </c>
      <c r="D478" t="s">
        <v>9</v>
      </c>
      <c r="E478" s="1">
        <v>44876</v>
      </c>
      <c r="F478" t="s">
        <v>5</v>
      </c>
      <c r="G478">
        <v>11931</v>
      </c>
      <c r="H478">
        <v>6007</v>
      </c>
      <c r="I478">
        <v>3.96</v>
      </c>
      <c r="J478">
        <v>8</v>
      </c>
      <c r="K478">
        <f t="shared" ca="1" si="480"/>
        <v>1091</v>
      </c>
      <c r="M478">
        <f t="shared" ca="1" si="481"/>
        <v>1091</v>
      </c>
      <c r="N478" t="str">
        <f t="shared" si="482"/>
        <v>Average</v>
      </c>
      <c r="O478" t="e">
        <f t="shared" si="483"/>
        <v>#N/A</v>
      </c>
      <c r="P478" t="str">
        <f t="shared" si="484"/>
        <v>YES</v>
      </c>
      <c r="Q478">
        <f t="shared" si="468"/>
        <v>537349</v>
      </c>
      <c r="R478" t="str">
        <f t="shared" si="485"/>
        <v>2021-2022</v>
      </c>
    </row>
    <row r="479" spans="1:18" x14ac:dyDescent="0.25">
      <c r="A479" t="s">
        <v>1193</v>
      </c>
      <c r="B479" t="s">
        <v>1194</v>
      </c>
      <c r="C479" t="s">
        <v>14</v>
      </c>
      <c r="D479" t="s">
        <v>65</v>
      </c>
      <c r="E479" t="s">
        <v>1195</v>
      </c>
      <c r="F479" t="s">
        <v>5</v>
      </c>
      <c r="G479">
        <v>12019</v>
      </c>
      <c r="H479">
        <v>8711</v>
      </c>
      <c r="I479">
        <v>3.97</v>
      </c>
      <c r="J479">
        <v>12</v>
      </c>
      <c r="K479">
        <f t="shared" ca="1" si="480"/>
        <v>1104</v>
      </c>
      <c r="M479">
        <f t="shared" ca="1" si="481"/>
        <v>1104</v>
      </c>
      <c r="N479" t="str">
        <f t="shared" si="482"/>
        <v>Average</v>
      </c>
      <c r="O479" t="e">
        <f t="shared" si="483"/>
        <v>#N/A</v>
      </c>
      <c r="P479" t="str">
        <f t="shared" si="484"/>
        <v>YES</v>
      </c>
      <c r="Q479">
        <f t="shared" si="468"/>
        <v>537349</v>
      </c>
      <c r="R479" t="str">
        <f t="shared" si="485"/>
        <v>2023-2024</v>
      </c>
    </row>
    <row r="480" spans="1:18" x14ac:dyDescent="0.25">
      <c r="A480" t="s">
        <v>1196</v>
      </c>
      <c r="B480" t="s">
        <v>1197</v>
      </c>
      <c r="C480" t="s">
        <v>58</v>
      </c>
      <c r="D480" t="s">
        <v>25</v>
      </c>
      <c r="E480" t="s">
        <v>362</v>
      </c>
      <c r="F480" t="s">
        <v>5</v>
      </c>
      <c r="G480">
        <v>6419</v>
      </c>
      <c r="H480">
        <v>1464</v>
      </c>
      <c r="I480">
        <v>2.97</v>
      </c>
      <c r="J480">
        <v>93</v>
      </c>
      <c r="K480">
        <f t="shared" ca="1" si="480"/>
        <v>1211</v>
      </c>
      <c r="M480">
        <f t="shared" ca="1" si="481"/>
        <v>1211</v>
      </c>
      <c r="N480" t="str">
        <f t="shared" si="482"/>
        <v>Average</v>
      </c>
      <c r="O480" t="e">
        <f t="shared" si="483"/>
        <v>#N/A</v>
      </c>
      <c r="P480" t="str">
        <f t="shared" si="484"/>
        <v>NO</v>
      </c>
      <c r="Q480">
        <f t="shared" si="468"/>
        <v>537349</v>
      </c>
      <c r="R480" t="str">
        <f t="shared" si="485"/>
        <v>2023-2024</v>
      </c>
    </row>
    <row r="481" spans="1:18" hidden="1" x14ac:dyDescent="0.25">
      <c r="A481" t="s">
        <v>1198</v>
      </c>
      <c r="B481" t="s">
        <v>1199</v>
      </c>
      <c r="C481" t="s">
        <v>17</v>
      </c>
      <c r="D481" t="s">
        <v>25</v>
      </c>
      <c r="E481" t="s">
        <v>1200</v>
      </c>
      <c r="F481" t="s">
        <v>11</v>
      </c>
      <c r="G481">
        <v>3561</v>
      </c>
      <c r="H481">
        <v>6640</v>
      </c>
      <c r="I481">
        <v>2.02</v>
      </c>
      <c r="J481">
        <v>63</v>
      </c>
      <c r="Q481">
        <f t="shared" si="468"/>
        <v>537349</v>
      </c>
    </row>
    <row r="482" spans="1:18" hidden="1" x14ac:dyDescent="0.25">
      <c r="A482" t="s">
        <v>1201</v>
      </c>
      <c r="B482" t="s">
        <v>1202</v>
      </c>
      <c r="C482" t="s">
        <v>8</v>
      </c>
      <c r="D482" t="s">
        <v>25</v>
      </c>
      <c r="E482" t="s">
        <v>1203</v>
      </c>
      <c r="F482" t="s">
        <v>11</v>
      </c>
      <c r="G482">
        <v>3683</v>
      </c>
      <c r="H482">
        <v>1441</v>
      </c>
      <c r="I482">
        <v>2.31</v>
      </c>
      <c r="J482">
        <v>102</v>
      </c>
      <c r="Q482">
        <f t="shared" si="468"/>
        <v>537349</v>
      </c>
    </row>
    <row r="483" spans="1:18" x14ac:dyDescent="0.25">
      <c r="A483" t="s">
        <v>1204</v>
      </c>
      <c r="B483" t="s">
        <v>1205</v>
      </c>
      <c r="C483" t="s">
        <v>14</v>
      </c>
      <c r="D483" t="s">
        <v>65</v>
      </c>
      <c r="E483" s="1">
        <v>45631</v>
      </c>
      <c r="F483" t="s">
        <v>5</v>
      </c>
      <c r="G483">
        <v>6365</v>
      </c>
      <c r="H483">
        <v>5276</v>
      </c>
      <c r="I483">
        <v>3.2</v>
      </c>
      <c r="J483">
        <v>20</v>
      </c>
      <c r="K483">
        <f t="shared" ref="K483" ca="1" si="486">IF(F483="Enrolled", TODAY()-E483, "")</f>
        <v>336</v>
      </c>
      <c r="M483">
        <f ca="1">IF(F483="Enrolled",TODAY() - E483,"")</f>
        <v>336</v>
      </c>
      <c r="N483" t="str">
        <f>IF(I485&gt;=3.5,"Excellent",IF(I485&gt;=3,"Good",IF(I485&gt;=2,"Average","Poor")))</f>
        <v>Good</v>
      </c>
      <c r="O483" t="e">
        <f>VLOOKUP(D483, $T$18:$U$23, 2, FALSE)</f>
        <v>#N/A</v>
      </c>
      <c r="P483" t="str">
        <f t="shared" ref="P483" si="487">IF(H483 &gt; 0.5 * G483, "YES", "NO")</f>
        <v>YES</v>
      </c>
      <c r="Q483">
        <f t="shared" si="468"/>
        <v>537349</v>
      </c>
      <c r="R483" t="str">
        <f>IF(MONTH(E477)&gt;=6, YEAR(E477) &amp; "-" &amp; YEAR(E477)+1, YEAR(E477)-1 &amp; "-" &amp; YEAR(E477))</f>
        <v>2022-2023</v>
      </c>
    </row>
    <row r="484" spans="1:18" hidden="1" x14ac:dyDescent="0.25">
      <c r="A484" t="s">
        <v>1206</v>
      </c>
      <c r="B484" t="s">
        <v>1207</v>
      </c>
      <c r="C484" t="s">
        <v>2</v>
      </c>
      <c r="D484" t="s">
        <v>25</v>
      </c>
      <c r="E484" t="s">
        <v>1208</v>
      </c>
      <c r="F484" t="s">
        <v>11</v>
      </c>
      <c r="G484">
        <v>9763</v>
      </c>
      <c r="H484">
        <v>308</v>
      </c>
      <c r="I484">
        <v>3.25</v>
      </c>
      <c r="J484">
        <v>69</v>
      </c>
      <c r="Q484">
        <f t="shared" si="468"/>
        <v>537349</v>
      </c>
    </row>
    <row r="485" spans="1:18" x14ac:dyDescent="0.25">
      <c r="A485" t="s">
        <v>1209</v>
      </c>
      <c r="B485" t="s">
        <v>1210</v>
      </c>
      <c r="C485" t="s">
        <v>14</v>
      </c>
      <c r="D485" t="s">
        <v>3</v>
      </c>
      <c r="E485" t="s">
        <v>759</v>
      </c>
      <c r="F485" t="s">
        <v>5</v>
      </c>
      <c r="G485">
        <v>8244</v>
      </c>
      <c r="H485">
        <v>6754</v>
      </c>
      <c r="I485">
        <v>3.13</v>
      </c>
      <c r="J485">
        <v>20</v>
      </c>
      <c r="K485">
        <f t="shared" ref="K485" ca="1" si="488">IF(F485="Enrolled", TODAY()-E485, "")</f>
        <v>1202</v>
      </c>
      <c r="M485">
        <f ca="1">IF(F485="Enrolled",TODAY() - E485,"")</f>
        <v>1202</v>
      </c>
      <c r="N485" t="str">
        <f>IF(I487&gt;=3.5,"Excellent",IF(I487&gt;=3,"Good",IF(I487&gt;=2,"Average","Poor")))</f>
        <v>Average</v>
      </c>
      <c r="O485" t="e">
        <f>VLOOKUP(D485, $T$18:$U$23, 2, FALSE)</f>
        <v>#N/A</v>
      </c>
      <c r="P485" t="str">
        <f t="shared" ref="P485" si="489">IF(H485 &gt; 0.5 * G485, "YES", "NO")</f>
        <v>YES</v>
      </c>
      <c r="Q485">
        <f t="shared" si="468"/>
        <v>537349</v>
      </c>
      <c r="R485" t="str">
        <f>IF(MONTH(E479)&gt;=6, YEAR(E479) &amp; "-" &amp; YEAR(E479)+1, YEAR(E479)-1 &amp; "-" &amp; YEAR(E479))</f>
        <v>2022-2023</v>
      </c>
    </row>
    <row r="486" spans="1:18" hidden="1" x14ac:dyDescent="0.25">
      <c r="A486" t="s">
        <v>1211</v>
      </c>
      <c r="B486" t="s">
        <v>1212</v>
      </c>
      <c r="C486" t="s">
        <v>17</v>
      </c>
      <c r="D486" t="s">
        <v>9</v>
      </c>
      <c r="E486" t="s">
        <v>484</v>
      </c>
      <c r="F486" t="s">
        <v>11</v>
      </c>
      <c r="G486">
        <v>14276</v>
      </c>
      <c r="H486">
        <v>4243</v>
      </c>
      <c r="I486">
        <v>3.91</v>
      </c>
      <c r="J486">
        <v>1</v>
      </c>
      <c r="Q486">
        <f t="shared" si="468"/>
        <v>537349</v>
      </c>
    </row>
    <row r="487" spans="1:18" hidden="1" x14ac:dyDescent="0.25">
      <c r="A487" t="s">
        <v>1213</v>
      </c>
      <c r="B487" t="s">
        <v>1214</v>
      </c>
      <c r="C487" t="s">
        <v>21</v>
      </c>
      <c r="D487" t="s">
        <v>65</v>
      </c>
      <c r="E487" t="s">
        <v>177</v>
      </c>
      <c r="F487" t="s">
        <v>11</v>
      </c>
      <c r="G487">
        <v>5843</v>
      </c>
      <c r="H487">
        <v>6177</v>
      </c>
      <c r="I487">
        <v>2.09</v>
      </c>
      <c r="J487">
        <v>28</v>
      </c>
      <c r="Q487">
        <f t="shared" si="468"/>
        <v>523073</v>
      </c>
    </row>
    <row r="488" spans="1:18" x14ac:dyDescent="0.25">
      <c r="A488" t="s">
        <v>1215</v>
      </c>
      <c r="B488" t="s">
        <v>1216</v>
      </c>
      <c r="C488" t="s">
        <v>2</v>
      </c>
      <c r="D488" t="s">
        <v>3</v>
      </c>
      <c r="E488" s="1">
        <v>44965</v>
      </c>
      <c r="F488" t="s">
        <v>5</v>
      </c>
      <c r="G488">
        <v>10937</v>
      </c>
      <c r="H488">
        <v>1114</v>
      </c>
      <c r="I488">
        <v>2.69</v>
      </c>
      <c r="J488">
        <v>109</v>
      </c>
      <c r="K488">
        <f t="shared" ref="K488:K491" ca="1" si="490">IF(F488="Enrolled", TODAY()-E488, "")</f>
        <v>1002</v>
      </c>
      <c r="M488">
        <f t="shared" ref="M488:M491" ca="1" si="491">IF(F488="Enrolled",TODAY() - E488,"")</f>
        <v>1002</v>
      </c>
      <c r="N488" t="str">
        <f t="shared" ref="N488:N491" si="492">IF(I490&gt;=3.5,"Excellent",IF(I490&gt;=3,"Good",IF(I490&gt;=2,"Average","Poor")))</f>
        <v>Good</v>
      </c>
      <c r="O488" t="e">
        <f t="shared" ref="O488:O491" si="493">VLOOKUP(D488, $T$18:$U$23, 2, FALSE)</f>
        <v>#N/A</v>
      </c>
      <c r="P488" t="str">
        <f t="shared" ref="P488:P491" si="494">IF(H488 &gt; 0.5 * G488, "YES", "NO")</f>
        <v>NO</v>
      </c>
      <c r="Q488">
        <f t="shared" si="468"/>
        <v>523073</v>
      </c>
      <c r="R488" t="str">
        <f t="shared" ref="R488:R491" si="495">IF(MONTH(E482)&gt;=6, YEAR(E482) &amp; "-" &amp; YEAR(E482)+1, YEAR(E482)-1 &amp; "-" &amp; YEAR(E482))</f>
        <v>2022-2023</v>
      </c>
    </row>
    <row r="489" spans="1:18" x14ac:dyDescent="0.25">
      <c r="A489" t="s">
        <v>1217</v>
      </c>
      <c r="B489" t="s">
        <v>1218</v>
      </c>
      <c r="C489" t="s">
        <v>2</v>
      </c>
      <c r="D489" t="s">
        <v>65</v>
      </c>
      <c r="E489" s="1">
        <v>45146</v>
      </c>
      <c r="F489" t="s">
        <v>5</v>
      </c>
      <c r="G489">
        <v>4056</v>
      </c>
      <c r="H489">
        <v>332</v>
      </c>
      <c r="I489">
        <v>3.81</v>
      </c>
      <c r="J489">
        <v>97</v>
      </c>
      <c r="K489">
        <f t="shared" ca="1" si="490"/>
        <v>821</v>
      </c>
      <c r="M489">
        <f t="shared" ca="1" si="491"/>
        <v>821</v>
      </c>
      <c r="N489" t="str">
        <f t="shared" si="492"/>
        <v>Excellent</v>
      </c>
      <c r="O489" t="e">
        <f t="shared" si="493"/>
        <v>#N/A</v>
      </c>
      <c r="P489" t="str">
        <f t="shared" si="494"/>
        <v>NO</v>
      </c>
      <c r="Q489">
        <f t="shared" si="468"/>
        <v>523073</v>
      </c>
      <c r="R489" t="str">
        <f t="shared" si="495"/>
        <v>2024-2025</v>
      </c>
    </row>
    <row r="490" spans="1:18" x14ac:dyDescent="0.25">
      <c r="A490" t="s">
        <v>1219</v>
      </c>
      <c r="B490" t="s">
        <v>1220</v>
      </c>
      <c r="C490" t="s">
        <v>17</v>
      </c>
      <c r="D490" t="s">
        <v>9</v>
      </c>
      <c r="E490" t="s">
        <v>1221</v>
      </c>
      <c r="F490" t="s">
        <v>5</v>
      </c>
      <c r="G490">
        <v>10757</v>
      </c>
      <c r="H490">
        <v>1430</v>
      </c>
      <c r="I490">
        <v>3.29</v>
      </c>
      <c r="J490">
        <v>93</v>
      </c>
      <c r="K490">
        <f t="shared" ca="1" si="490"/>
        <v>1375</v>
      </c>
      <c r="M490">
        <f t="shared" ca="1" si="491"/>
        <v>1375</v>
      </c>
      <c r="N490" t="str">
        <f t="shared" si="492"/>
        <v>Average</v>
      </c>
      <c r="O490" t="e">
        <f t="shared" si="493"/>
        <v>#N/A</v>
      </c>
      <c r="P490" t="str">
        <f t="shared" si="494"/>
        <v>NO</v>
      </c>
      <c r="Q490">
        <f t="shared" si="468"/>
        <v>523073</v>
      </c>
      <c r="R490" t="str">
        <f t="shared" si="495"/>
        <v>2022-2023</v>
      </c>
    </row>
    <row r="491" spans="1:18" x14ac:dyDescent="0.25">
      <c r="A491" t="s">
        <v>1222</v>
      </c>
      <c r="B491" t="s">
        <v>1223</v>
      </c>
      <c r="C491" t="s">
        <v>32</v>
      </c>
      <c r="D491" t="s">
        <v>9</v>
      </c>
      <c r="E491" t="s">
        <v>1224</v>
      </c>
      <c r="F491" t="s">
        <v>5</v>
      </c>
      <c r="G491">
        <v>5023</v>
      </c>
      <c r="H491">
        <v>6205</v>
      </c>
      <c r="I491">
        <v>3.59</v>
      </c>
      <c r="J491">
        <v>11</v>
      </c>
      <c r="K491">
        <f t="shared" ca="1" si="490"/>
        <v>747</v>
      </c>
      <c r="M491">
        <f t="shared" ca="1" si="491"/>
        <v>747</v>
      </c>
      <c r="N491" t="str">
        <f t="shared" si="492"/>
        <v>Average</v>
      </c>
      <c r="O491" t="e">
        <f t="shared" si="493"/>
        <v>#N/A</v>
      </c>
      <c r="P491" t="str">
        <f t="shared" si="494"/>
        <v>YES</v>
      </c>
      <c r="Q491">
        <f t="shared" si="468"/>
        <v>523073</v>
      </c>
      <c r="R491" t="str">
        <f t="shared" si="495"/>
        <v>2022-2023</v>
      </c>
    </row>
    <row r="492" spans="1:18" hidden="1" x14ac:dyDescent="0.25">
      <c r="A492" t="s">
        <v>1225</v>
      </c>
      <c r="B492" t="s">
        <v>1226</v>
      </c>
      <c r="C492" t="s">
        <v>32</v>
      </c>
      <c r="D492" t="s">
        <v>25</v>
      </c>
      <c r="E492" s="1">
        <v>45598</v>
      </c>
      <c r="F492" t="s">
        <v>11</v>
      </c>
      <c r="G492">
        <v>6821</v>
      </c>
      <c r="H492">
        <v>5563</v>
      </c>
      <c r="I492">
        <v>2.02</v>
      </c>
      <c r="J492">
        <v>70</v>
      </c>
      <c r="Q492">
        <f t="shared" si="468"/>
        <v>523073</v>
      </c>
    </row>
    <row r="493" spans="1:18" x14ac:dyDescent="0.25">
      <c r="A493" t="s">
        <v>1227</v>
      </c>
      <c r="B493" t="s">
        <v>1228</v>
      </c>
      <c r="C493" t="s">
        <v>55</v>
      </c>
      <c r="D493" t="s">
        <v>65</v>
      </c>
      <c r="E493" t="s">
        <v>1229</v>
      </c>
      <c r="F493" t="s">
        <v>5</v>
      </c>
      <c r="G493">
        <v>3545</v>
      </c>
      <c r="H493">
        <v>7302</v>
      </c>
      <c r="I493">
        <v>2.87</v>
      </c>
      <c r="J493">
        <v>12</v>
      </c>
      <c r="K493">
        <f t="shared" ref="K493:K494" ca="1" si="496">IF(F493="Enrolled", TODAY()-E493, "")</f>
        <v>542</v>
      </c>
      <c r="M493">
        <f t="shared" ref="M493:M494" ca="1" si="497">IF(F493="Enrolled",TODAY() - E493,"")</f>
        <v>542</v>
      </c>
      <c r="N493" t="str">
        <f t="shared" ref="N493:N494" si="498">IF(I495&gt;=3.5,"Excellent",IF(I495&gt;=3,"Good",IF(I495&gt;=2,"Average","Poor")))</f>
        <v>Average</v>
      </c>
      <c r="O493" t="e">
        <f t="shared" ref="O493:O494" si="499">VLOOKUP(D493, $T$18:$U$23, 2, FALSE)</f>
        <v>#N/A</v>
      </c>
      <c r="P493" t="str">
        <f t="shared" ref="P493:P494" si="500">IF(H493 &gt; 0.5 * G493, "YES", "NO")</f>
        <v>YES</v>
      </c>
      <c r="Q493">
        <f t="shared" si="468"/>
        <v>523073</v>
      </c>
      <c r="R493" t="str">
        <f t="shared" ref="R493:R494" si="501">IF(MONTH(E487)&gt;=6, YEAR(E487) &amp; "-" &amp; YEAR(E487)+1, YEAR(E487)-1 &amp; "-" &amp; YEAR(E487))</f>
        <v>2022-2023</v>
      </c>
    </row>
    <row r="494" spans="1:18" x14ac:dyDescent="0.25">
      <c r="A494" t="s">
        <v>1230</v>
      </c>
      <c r="B494" t="s">
        <v>1231</v>
      </c>
      <c r="C494" t="s">
        <v>8</v>
      </c>
      <c r="D494" t="s">
        <v>25</v>
      </c>
      <c r="E494" t="s">
        <v>183</v>
      </c>
      <c r="F494" t="s">
        <v>5</v>
      </c>
      <c r="G494">
        <v>14219</v>
      </c>
      <c r="H494">
        <v>7883</v>
      </c>
      <c r="I494">
        <v>2.7</v>
      </c>
      <c r="J494">
        <v>98</v>
      </c>
      <c r="K494">
        <f t="shared" ca="1" si="496"/>
        <v>1083</v>
      </c>
      <c r="M494">
        <f t="shared" ca="1" si="497"/>
        <v>1083</v>
      </c>
      <c r="N494" t="str">
        <f t="shared" si="498"/>
        <v>Average</v>
      </c>
      <c r="O494" t="e">
        <f t="shared" si="499"/>
        <v>#N/A</v>
      </c>
      <c r="P494" t="str">
        <f t="shared" si="500"/>
        <v>YES</v>
      </c>
      <c r="Q494">
        <f t="shared" si="468"/>
        <v>523073</v>
      </c>
      <c r="R494" t="str">
        <f t="shared" si="501"/>
        <v>2022-2023</v>
      </c>
    </row>
    <row r="495" spans="1:18" hidden="1" x14ac:dyDescent="0.25">
      <c r="A495" t="s">
        <v>1232</v>
      </c>
      <c r="B495" t="s">
        <v>1233</v>
      </c>
      <c r="C495" t="s">
        <v>21</v>
      </c>
      <c r="D495" t="s">
        <v>65</v>
      </c>
      <c r="E495" t="s">
        <v>1195</v>
      </c>
      <c r="F495" t="s">
        <v>36</v>
      </c>
      <c r="G495">
        <v>3235</v>
      </c>
      <c r="H495">
        <v>1111</v>
      </c>
      <c r="I495">
        <v>2.4300000000000002</v>
      </c>
      <c r="J495">
        <v>119</v>
      </c>
      <c r="Q495">
        <f t="shared" si="468"/>
        <v>523073</v>
      </c>
    </row>
    <row r="496" spans="1:18" x14ac:dyDescent="0.25">
      <c r="A496" t="s">
        <v>1234</v>
      </c>
      <c r="B496" t="s">
        <v>1235</v>
      </c>
      <c r="C496" t="s">
        <v>32</v>
      </c>
      <c r="D496" t="s">
        <v>25</v>
      </c>
      <c r="E496" t="s">
        <v>1236</v>
      </c>
      <c r="F496" t="s">
        <v>5</v>
      </c>
      <c r="G496">
        <v>12764</v>
      </c>
      <c r="H496">
        <v>1814</v>
      </c>
      <c r="I496">
        <v>2.37</v>
      </c>
      <c r="J496">
        <v>108</v>
      </c>
      <c r="K496">
        <f t="shared" ref="K496" ca="1" si="502">IF(F496="Enrolled", TODAY()-E496, "")</f>
        <v>1150</v>
      </c>
      <c r="M496">
        <f ca="1">IF(F496="Enrolled",TODAY() - E496,"")</f>
        <v>1150</v>
      </c>
      <c r="N496" t="str">
        <f>IF(I498&gt;=3.5,"Excellent",IF(I498&gt;=3,"Good",IF(I498&gt;=2,"Average","Poor")))</f>
        <v>Average</v>
      </c>
      <c r="O496" t="e">
        <f>VLOOKUP(D496, $T$18:$U$23, 2, FALSE)</f>
        <v>#N/A</v>
      </c>
      <c r="P496" t="str">
        <f t="shared" ref="P496" si="503">IF(H496 &gt; 0.5 * G496, "YES", "NO")</f>
        <v>NO</v>
      </c>
      <c r="Q496">
        <f t="shared" si="468"/>
        <v>523073</v>
      </c>
      <c r="R496" t="str">
        <f>IF(MONTH(E490)&gt;=6, YEAR(E490) &amp; "-" &amp; YEAR(E490)+1, YEAR(E490)-1 &amp; "-" &amp; YEAR(E490))</f>
        <v>2021-2022</v>
      </c>
    </row>
    <row r="497" spans="1:18" hidden="1" x14ac:dyDescent="0.25">
      <c r="A497" t="s">
        <v>1237</v>
      </c>
      <c r="B497" t="s">
        <v>1238</v>
      </c>
      <c r="C497" t="s">
        <v>21</v>
      </c>
      <c r="D497" t="s">
        <v>3</v>
      </c>
      <c r="E497" t="s">
        <v>174</v>
      </c>
      <c r="F497" t="s">
        <v>11</v>
      </c>
      <c r="G497">
        <v>7033</v>
      </c>
      <c r="H497">
        <v>3416</v>
      </c>
      <c r="I497">
        <v>3.51</v>
      </c>
      <c r="J497">
        <v>7</v>
      </c>
      <c r="Q497">
        <f t="shared" si="468"/>
        <v>523073</v>
      </c>
    </row>
    <row r="498" spans="1:18" hidden="1" x14ac:dyDescent="0.25">
      <c r="A498" t="s">
        <v>1239</v>
      </c>
      <c r="B498" t="s">
        <v>1240</v>
      </c>
      <c r="C498" t="s">
        <v>17</v>
      </c>
      <c r="D498" t="s">
        <v>25</v>
      </c>
      <c r="E498" t="s">
        <v>131</v>
      </c>
      <c r="F498" t="s">
        <v>36</v>
      </c>
      <c r="G498">
        <v>13290</v>
      </c>
      <c r="H498">
        <v>1862</v>
      </c>
      <c r="I498">
        <v>2.39</v>
      </c>
      <c r="J498">
        <v>75</v>
      </c>
      <c r="Q498">
        <f t="shared" si="468"/>
        <v>523073</v>
      </c>
    </row>
    <row r="499" spans="1:18" x14ac:dyDescent="0.25">
      <c r="A499" t="s">
        <v>1241</v>
      </c>
      <c r="B499" t="s">
        <v>1242</v>
      </c>
      <c r="C499" t="s">
        <v>2</v>
      </c>
      <c r="D499" t="s">
        <v>3</v>
      </c>
      <c r="E499" t="s">
        <v>1243</v>
      </c>
      <c r="F499" t="s">
        <v>5</v>
      </c>
      <c r="G499">
        <v>12663</v>
      </c>
      <c r="H499">
        <v>4913</v>
      </c>
      <c r="I499">
        <v>3.59</v>
      </c>
      <c r="J499">
        <v>110</v>
      </c>
      <c r="K499">
        <f t="shared" ref="K499" ca="1" si="504">IF(F499="Enrolled", TODAY()-E499, "")</f>
        <v>1210</v>
      </c>
      <c r="M499">
        <f ca="1">IF(F499="Enrolled",TODAY() - E499,"")</f>
        <v>1210</v>
      </c>
      <c r="N499" t="str">
        <f>IF(I501&gt;=3.5,"Excellent",IF(I501&gt;=3,"Good",IF(I501&gt;=2,"Average","Poor")))</f>
        <v>Excellent</v>
      </c>
      <c r="O499" t="e">
        <f>VLOOKUP(D499, $T$18:$U$23, 2, FALSE)</f>
        <v>#N/A</v>
      </c>
      <c r="P499" t="str">
        <f t="shared" ref="P499" si="505">IF(H499 &gt; 0.5 * G499, "YES", "NO")</f>
        <v>NO</v>
      </c>
      <c r="Q499">
        <f t="shared" si="468"/>
        <v>523073</v>
      </c>
      <c r="R499" t="str">
        <f>IF(MONTH(E493)&gt;=6, YEAR(E493) &amp; "-" &amp; YEAR(E493)+1, YEAR(E493)-1 &amp; "-" &amp; YEAR(E493))</f>
        <v>2023-2024</v>
      </c>
    </row>
    <row r="500" spans="1:18" hidden="1" x14ac:dyDescent="0.25">
      <c r="A500" t="s">
        <v>1244</v>
      </c>
      <c r="B500" t="s">
        <v>1245</v>
      </c>
      <c r="C500" t="s">
        <v>58</v>
      </c>
      <c r="D500" t="s">
        <v>65</v>
      </c>
      <c r="E500" s="1">
        <v>45238</v>
      </c>
      <c r="F500" t="s">
        <v>11</v>
      </c>
      <c r="G500">
        <v>3630</v>
      </c>
      <c r="H500">
        <v>8783</v>
      </c>
      <c r="I500">
        <v>2.73</v>
      </c>
      <c r="J500">
        <v>67</v>
      </c>
      <c r="Q500">
        <f t="shared" si="468"/>
        <v>523073</v>
      </c>
    </row>
    <row r="501" spans="1:18" x14ac:dyDescent="0.25">
      <c r="A501" t="s">
        <v>1246</v>
      </c>
      <c r="B501" t="s">
        <v>1247</v>
      </c>
      <c r="C501" t="s">
        <v>58</v>
      </c>
      <c r="D501" t="s">
        <v>65</v>
      </c>
      <c r="E501" s="1">
        <v>45080</v>
      </c>
      <c r="F501" t="s">
        <v>5</v>
      </c>
      <c r="G501">
        <v>14263</v>
      </c>
      <c r="H501">
        <v>2162</v>
      </c>
      <c r="I501">
        <v>3.8</v>
      </c>
      <c r="J501">
        <v>53</v>
      </c>
      <c r="K501">
        <f t="shared" ref="K501" ca="1" si="506">IF(F501="Enrolled", TODAY()-E501, "")</f>
        <v>887</v>
      </c>
      <c r="M501">
        <f ca="1">IF(F501="Enrolled",TODAY() - E501,"")</f>
        <v>887</v>
      </c>
      <c r="N501" t="str">
        <f>IF(I503&gt;=3.5,"Excellent",IF(I503&gt;=3,"Good",IF(I503&gt;=2,"Average","Poor")))</f>
        <v>Excellent</v>
      </c>
      <c r="O501" t="e">
        <f>VLOOKUP(D501, $T$18:$U$23, 2, FALSE)</f>
        <v>#N/A</v>
      </c>
      <c r="P501" t="str">
        <f t="shared" ref="P501" si="507">IF(H501 &gt; 0.5 * G501, "YES", "NO")</f>
        <v>NO</v>
      </c>
      <c r="Q501">
        <f t="shared" si="468"/>
        <v>523073</v>
      </c>
      <c r="R501" t="str">
        <f>IF(MONTH(E495)&gt;=6, YEAR(E495) &amp; "-" &amp; YEAR(E495)+1, YEAR(E495)-1 &amp; "-" &amp; YEAR(E495))</f>
        <v>2022-2023</v>
      </c>
    </row>
    <row r="502" spans="1:18" hidden="1" x14ac:dyDescent="0.25">
      <c r="A502" t="s">
        <v>1248</v>
      </c>
      <c r="B502" t="s">
        <v>1249</v>
      </c>
      <c r="C502" t="s">
        <v>14</v>
      </c>
      <c r="D502" t="s">
        <v>25</v>
      </c>
      <c r="E502" t="s">
        <v>195</v>
      </c>
      <c r="F502" t="s">
        <v>11</v>
      </c>
      <c r="G502">
        <v>12155</v>
      </c>
      <c r="H502">
        <v>8128</v>
      </c>
      <c r="I502">
        <v>3.28</v>
      </c>
      <c r="J502">
        <v>21</v>
      </c>
      <c r="Q502">
        <f t="shared" si="468"/>
        <v>523073</v>
      </c>
    </row>
    <row r="503" spans="1:18" hidden="1" x14ac:dyDescent="0.25">
      <c r="A503" t="s">
        <v>1250</v>
      </c>
      <c r="B503" t="s">
        <v>1251</v>
      </c>
      <c r="C503" t="s">
        <v>21</v>
      </c>
      <c r="D503" t="s">
        <v>9</v>
      </c>
      <c r="E503" s="1">
        <v>45445</v>
      </c>
      <c r="F503" t="s">
        <v>11</v>
      </c>
      <c r="G503">
        <v>4867</v>
      </c>
      <c r="H503">
        <v>7702</v>
      </c>
      <c r="I503">
        <v>3.52</v>
      </c>
      <c r="J503">
        <v>1</v>
      </c>
      <c r="Q503">
        <f t="shared" si="468"/>
        <v>523073</v>
      </c>
    </row>
    <row r="504" spans="1:18" hidden="1" x14ac:dyDescent="0.25">
      <c r="A504" t="s">
        <v>1252</v>
      </c>
      <c r="B504" t="s">
        <v>1253</v>
      </c>
      <c r="C504" t="s">
        <v>32</v>
      </c>
      <c r="D504" t="s">
        <v>9</v>
      </c>
      <c r="E504" t="s">
        <v>834</v>
      </c>
      <c r="F504" t="s">
        <v>11</v>
      </c>
      <c r="G504">
        <v>13284</v>
      </c>
      <c r="H504">
        <v>5926</v>
      </c>
      <c r="I504">
        <v>2.25</v>
      </c>
      <c r="J504">
        <v>48</v>
      </c>
      <c r="Q504">
        <f t="shared" si="468"/>
        <v>518206</v>
      </c>
    </row>
    <row r="505" spans="1:18" x14ac:dyDescent="0.25">
      <c r="A505" t="s">
        <v>1254</v>
      </c>
      <c r="B505" t="s">
        <v>1255</v>
      </c>
      <c r="C505" t="s">
        <v>8</v>
      </c>
      <c r="D505" t="s">
        <v>65</v>
      </c>
      <c r="E505" s="1">
        <v>44839</v>
      </c>
      <c r="F505" t="s">
        <v>5</v>
      </c>
      <c r="G505">
        <v>10971</v>
      </c>
      <c r="H505">
        <v>3693</v>
      </c>
      <c r="I505">
        <v>3.43</v>
      </c>
      <c r="J505">
        <v>67</v>
      </c>
      <c r="K505">
        <f t="shared" ref="K505:K506" ca="1" si="508">IF(F505="Enrolled", TODAY()-E505, "")</f>
        <v>1128</v>
      </c>
      <c r="M505">
        <f t="shared" ref="M505:M506" ca="1" si="509">IF(F505="Enrolled",TODAY() - E505,"")</f>
        <v>1128</v>
      </c>
      <c r="N505" t="str">
        <f t="shared" ref="N505:N506" si="510">IF(I507&gt;=3.5,"Excellent",IF(I507&gt;=3,"Good",IF(I507&gt;=2,"Average","Poor")))</f>
        <v>Average</v>
      </c>
      <c r="O505" t="e">
        <f t="shared" ref="O505:O506" si="511">VLOOKUP(D505, $T$18:$U$23, 2, FALSE)</f>
        <v>#N/A</v>
      </c>
      <c r="P505" t="str">
        <f t="shared" ref="P505:P506" si="512">IF(H505 &gt; 0.5 * G505, "YES", "NO")</f>
        <v>NO</v>
      </c>
      <c r="Q505">
        <f t="shared" si="468"/>
        <v>504922</v>
      </c>
      <c r="R505" t="str">
        <f t="shared" ref="R505:R506" si="513">IF(MONTH(E499)&gt;=6, YEAR(E499) &amp; "-" &amp; YEAR(E499)+1, YEAR(E499)-1 &amp; "-" &amp; YEAR(E499))</f>
        <v>2022-2023</v>
      </c>
    </row>
    <row r="506" spans="1:18" x14ac:dyDescent="0.25">
      <c r="A506" t="s">
        <v>1256</v>
      </c>
      <c r="B506" t="s">
        <v>1257</v>
      </c>
      <c r="C506" t="s">
        <v>32</v>
      </c>
      <c r="D506" t="s">
        <v>25</v>
      </c>
      <c r="E506" t="s">
        <v>101</v>
      </c>
      <c r="F506" t="s">
        <v>5</v>
      </c>
      <c r="G506">
        <v>10845</v>
      </c>
      <c r="H506">
        <v>3885</v>
      </c>
      <c r="I506">
        <v>3.24</v>
      </c>
      <c r="J506">
        <v>73</v>
      </c>
      <c r="K506">
        <f t="shared" ca="1" si="508"/>
        <v>876</v>
      </c>
      <c r="M506">
        <f t="shared" ca="1" si="509"/>
        <v>876</v>
      </c>
      <c r="N506" t="str">
        <f t="shared" si="510"/>
        <v>Excellent</v>
      </c>
      <c r="O506" t="e">
        <f t="shared" si="511"/>
        <v>#N/A</v>
      </c>
      <c r="P506" t="str">
        <f t="shared" si="512"/>
        <v>NO</v>
      </c>
      <c r="Q506">
        <f t="shared" si="468"/>
        <v>504922</v>
      </c>
      <c r="R506" t="str">
        <f t="shared" si="513"/>
        <v>2023-2024</v>
      </c>
    </row>
    <row r="507" spans="1:18" hidden="1" x14ac:dyDescent="0.25">
      <c r="A507" t="s">
        <v>1258</v>
      </c>
      <c r="B507" t="s">
        <v>1259</v>
      </c>
      <c r="C507" t="s">
        <v>21</v>
      </c>
      <c r="D507" t="s">
        <v>25</v>
      </c>
      <c r="E507" t="s">
        <v>1260</v>
      </c>
      <c r="F507" t="s">
        <v>36</v>
      </c>
      <c r="G507">
        <v>3925</v>
      </c>
      <c r="H507">
        <v>9799</v>
      </c>
      <c r="I507">
        <v>2.62</v>
      </c>
      <c r="J507">
        <v>73</v>
      </c>
      <c r="Q507">
        <f t="shared" si="468"/>
        <v>504922</v>
      </c>
    </row>
    <row r="508" spans="1:18" hidden="1" x14ac:dyDescent="0.25">
      <c r="A508" t="s">
        <v>1261</v>
      </c>
      <c r="B508" t="s">
        <v>1262</v>
      </c>
      <c r="C508" t="s">
        <v>14</v>
      </c>
      <c r="D508" t="s">
        <v>9</v>
      </c>
      <c r="E508" t="s">
        <v>1263</v>
      </c>
      <c r="F508" t="s">
        <v>11</v>
      </c>
      <c r="G508">
        <v>9717</v>
      </c>
      <c r="H508">
        <v>1531</v>
      </c>
      <c r="I508">
        <v>3.9</v>
      </c>
      <c r="J508">
        <v>15</v>
      </c>
      <c r="Q508">
        <f t="shared" si="468"/>
        <v>504922</v>
      </c>
    </row>
    <row r="509" spans="1:18" hidden="1" x14ac:dyDescent="0.25">
      <c r="A509" t="s">
        <v>1264</v>
      </c>
      <c r="B509" t="s">
        <v>1265</v>
      </c>
      <c r="C509" t="s">
        <v>8</v>
      </c>
      <c r="D509" t="s">
        <v>9</v>
      </c>
      <c r="E509" s="1">
        <v>45270</v>
      </c>
      <c r="F509" t="s">
        <v>11</v>
      </c>
      <c r="G509">
        <v>9611</v>
      </c>
      <c r="H509">
        <v>6838</v>
      </c>
      <c r="I509">
        <v>3.3</v>
      </c>
      <c r="J509">
        <v>94</v>
      </c>
      <c r="Q509">
        <f t="shared" si="468"/>
        <v>495205</v>
      </c>
    </row>
    <row r="510" spans="1:18" hidden="1" x14ac:dyDescent="0.25">
      <c r="A510" t="s">
        <v>1266</v>
      </c>
      <c r="B510" t="s">
        <v>1267</v>
      </c>
      <c r="C510" t="s">
        <v>55</v>
      </c>
      <c r="D510" t="s">
        <v>9</v>
      </c>
      <c r="E510" t="s">
        <v>914</v>
      </c>
      <c r="F510" t="s">
        <v>11</v>
      </c>
      <c r="G510">
        <v>7850</v>
      </c>
      <c r="H510">
        <v>5788</v>
      </c>
      <c r="I510">
        <v>2.58</v>
      </c>
      <c r="J510">
        <v>14</v>
      </c>
      <c r="Q510">
        <f t="shared" si="468"/>
        <v>485594</v>
      </c>
    </row>
    <row r="511" spans="1:18" x14ac:dyDescent="0.25">
      <c r="A511" t="s">
        <v>1268</v>
      </c>
      <c r="B511" t="s">
        <v>1269</v>
      </c>
      <c r="C511" t="s">
        <v>2</v>
      </c>
      <c r="D511" t="s">
        <v>3</v>
      </c>
      <c r="E511" t="s">
        <v>1270</v>
      </c>
      <c r="F511" t="s">
        <v>5</v>
      </c>
      <c r="G511">
        <v>13973</v>
      </c>
      <c r="H511">
        <v>1742</v>
      </c>
      <c r="I511">
        <v>2.1</v>
      </c>
      <c r="J511">
        <v>10</v>
      </c>
      <c r="K511">
        <f t="shared" ref="K511:K512" ca="1" si="514">IF(F511="Enrolled", TODAY()-E511, "")</f>
        <v>986</v>
      </c>
      <c r="M511">
        <f t="shared" ref="M511:M512" ca="1" si="515">IF(F511="Enrolled",TODAY() - E511,"")</f>
        <v>986</v>
      </c>
      <c r="N511" t="str">
        <f t="shared" ref="N511:N512" si="516">IF(I513&gt;=3.5,"Excellent",IF(I513&gt;=3,"Good",IF(I513&gt;=2,"Average","Poor")))</f>
        <v>Average</v>
      </c>
      <c r="O511" t="e">
        <f t="shared" ref="O511:O512" si="517">VLOOKUP(D511, $T$18:$U$23, 2, FALSE)</f>
        <v>#N/A</v>
      </c>
      <c r="P511" t="str">
        <f t="shared" ref="P511:P512" si="518">IF(H511 &gt; 0.5 * G511, "YES", "NO")</f>
        <v>NO</v>
      </c>
      <c r="Q511">
        <f t="shared" si="468"/>
        <v>477744</v>
      </c>
      <c r="R511" t="str">
        <f t="shared" ref="R511" si="519">IF(MONTH(E505)&gt;=6, YEAR(E505) &amp; "-" &amp; YEAR(E505)+1, YEAR(E505)-1 &amp; "-" &amp; YEAR(E505))</f>
        <v>2022-2023</v>
      </c>
    </row>
    <row r="512" spans="1:18" x14ac:dyDescent="0.25">
      <c r="A512" t="s">
        <v>1271</v>
      </c>
      <c r="B512" t="s">
        <v>1272</v>
      </c>
      <c r="C512" t="s">
        <v>55</v>
      </c>
      <c r="D512" t="s">
        <v>25</v>
      </c>
      <c r="E512" t="s">
        <v>1273</v>
      </c>
      <c r="F512" t="s">
        <v>5</v>
      </c>
      <c r="G512">
        <v>9294</v>
      </c>
      <c r="H512">
        <v>6415</v>
      </c>
      <c r="I512">
        <v>3.38</v>
      </c>
      <c r="J512">
        <v>57</v>
      </c>
      <c r="K512">
        <f t="shared" ca="1" si="514"/>
        <v>649</v>
      </c>
      <c r="M512">
        <f t="shared" ca="1" si="515"/>
        <v>649</v>
      </c>
      <c r="N512" t="str">
        <f t="shared" si="516"/>
        <v>Average</v>
      </c>
      <c r="O512" t="e">
        <f t="shared" si="517"/>
        <v>#N/A</v>
      </c>
      <c r="P512" t="str">
        <f t="shared" si="518"/>
        <v>YES</v>
      </c>
      <c r="Q512">
        <f t="shared" si="468"/>
        <v>477744</v>
      </c>
      <c r="R512" t="str">
        <f>IF(MONTH(E506)&gt;=6, YEAR(E506) &amp; "-" &amp; YEAR(E506)+1, YEAR(E506)-1 &amp; "-" &amp; YEAR(E506))</f>
        <v>2023-2024</v>
      </c>
    </row>
    <row r="513" spans="1:18" hidden="1" x14ac:dyDescent="0.25">
      <c r="A513" t="s">
        <v>1274</v>
      </c>
      <c r="B513" t="s">
        <v>1275</v>
      </c>
      <c r="C513" t="s">
        <v>21</v>
      </c>
      <c r="D513" t="s">
        <v>3</v>
      </c>
      <c r="E513" t="s">
        <v>1276</v>
      </c>
      <c r="F513" t="s">
        <v>11</v>
      </c>
      <c r="G513">
        <v>9133</v>
      </c>
      <c r="H513">
        <v>2906</v>
      </c>
      <c r="I513">
        <v>2.85</v>
      </c>
      <c r="J513">
        <v>42</v>
      </c>
      <c r="Q513">
        <f t="shared" si="468"/>
        <v>477744</v>
      </c>
    </row>
    <row r="514" spans="1:18" hidden="1" x14ac:dyDescent="0.25">
      <c r="A514" t="s">
        <v>1277</v>
      </c>
      <c r="B514" t="s">
        <v>1278</v>
      </c>
      <c r="C514" t="s">
        <v>21</v>
      </c>
      <c r="D514" t="s">
        <v>3</v>
      </c>
      <c r="E514" t="s">
        <v>22</v>
      </c>
      <c r="F514" t="s">
        <v>36</v>
      </c>
      <c r="G514">
        <v>9782</v>
      </c>
      <c r="H514">
        <v>2085</v>
      </c>
      <c r="I514">
        <v>2.36</v>
      </c>
      <c r="J514">
        <v>66</v>
      </c>
      <c r="Q514">
        <f t="shared" si="468"/>
        <v>477744</v>
      </c>
    </row>
    <row r="515" spans="1:18" hidden="1" x14ac:dyDescent="0.25">
      <c r="A515" t="s">
        <v>1279</v>
      </c>
      <c r="B515" t="s">
        <v>1280</v>
      </c>
      <c r="C515" t="s">
        <v>2</v>
      </c>
      <c r="D515" t="s">
        <v>3</v>
      </c>
      <c r="E515" t="s">
        <v>281</v>
      </c>
      <c r="F515" t="s">
        <v>11</v>
      </c>
      <c r="G515">
        <v>5574</v>
      </c>
      <c r="H515">
        <v>6633</v>
      </c>
      <c r="I515">
        <v>2.82</v>
      </c>
      <c r="J515">
        <v>1</v>
      </c>
      <c r="Q515">
        <f t="shared" si="468"/>
        <v>477744</v>
      </c>
    </row>
    <row r="516" spans="1:18" x14ac:dyDescent="0.25">
      <c r="A516" t="s">
        <v>1281</v>
      </c>
      <c r="B516" t="s">
        <v>1282</v>
      </c>
      <c r="C516" t="s">
        <v>8</v>
      </c>
      <c r="D516" t="s">
        <v>65</v>
      </c>
      <c r="E516" t="s">
        <v>834</v>
      </c>
      <c r="F516" t="s">
        <v>5</v>
      </c>
      <c r="G516">
        <v>6629</v>
      </c>
      <c r="H516">
        <v>3439</v>
      </c>
      <c r="I516">
        <v>3.83</v>
      </c>
      <c r="J516">
        <v>31</v>
      </c>
      <c r="K516">
        <f t="shared" ref="K516:K517" ca="1" si="520">IF(F516="Enrolled", TODAY()-E516, "")</f>
        <v>1389</v>
      </c>
      <c r="M516">
        <f t="shared" ref="M516:M517" ca="1" si="521">IF(F516="Enrolled",TODAY() - E516,"")</f>
        <v>1389</v>
      </c>
      <c r="N516" t="str">
        <f t="shared" ref="N516:N517" si="522">IF(I518&gt;=3.5,"Excellent",IF(I518&gt;=3,"Good",IF(I518&gt;=2,"Average","Poor")))</f>
        <v>Excellent</v>
      </c>
      <c r="O516" t="e">
        <f t="shared" ref="O516:O517" si="523">VLOOKUP(D516, $T$18:$U$23, 2, FALSE)</f>
        <v>#N/A</v>
      </c>
      <c r="P516" t="str">
        <f t="shared" ref="P516:P517" si="524">IF(H516 &gt; 0.5 * G516, "YES", "NO")</f>
        <v>YES</v>
      </c>
      <c r="Q516">
        <f t="shared" si="468"/>
        <v>477744</v>
      </c>
      <c r="R516" t="str">
        <f t="shared" ref="R516:R517" si="525">IF(MONTH(E510)&gt;=6, YEAR(E510) &amp; "-" &amp; YEAR(E510)+1, YEAR(E510)-1 &amp; "-" &amp; YEAR(E510))</f>
        <v>2023-2024</v>
      </c>
    </row>
    <row r="517" spans="1:18" x14ac:dyDescent="0.25">
      <c r="A517" t="s">
        <v>1283</v>
      </c>
      <c r="B517" t="s">
        <v>1284</v>
      </c>
      <c r="C517" t="s">
        <v>21</v>
      </c>
      <c r="D517" t="s">
        <v>9</v>
      </c>
      <c r="E517" t="s">
        <v>1285</v>
      </c>
      <c r="F517" t="s">
        <v>5</v>
      </c>
      <c r="G517">
        <v>10972</v>
      </c>
      <c r="H517">
        <v>8709</v>
      </c>
      <c r="I517">
        <v>2.56</v>
      </c>
      <c r="J517">
        <v>15</v>
      </c>
      <c r="K517">
        <f t="shared" ca="1" si="520"/>
        <v>1078</v>
      </c>
      <c r="M517">
        <f t="shared" ca="1" si="521"/>
        <v>1078</v>
      </c>
      <c r="N517" t="str">
        <f t="shared" si="522"/>
        <v>Good</v>
      </c>
      <c r="O517" t="e">
        <f t="shared" si="523"/>
        <v>#N/A</v>
      </c>
      <c r="P517" t="str">
        <f t="shared" si="524"/>
        <v>YES</v>
      </c>
      <c r="Q517">
        <f t="shared" si="468"/>
        <v>477744</v>
      </c>
      <c r="R517" t="str">
        <f t="shared" si="525"/>
        <v>2022-2023</v>
      </c>
    </row>
    <row r="518" spans="1:18" hidden="1" x14ac:dyDescent="0.25">
      <c r="A518" t="s">
        <v>1286</v>
      </c>
      <c r="B518" t="s">
        <v>1287</v>
      </c>
      <c r="C518" t="s">
        <v>14</v>
      </c>
      <c r="D518" t="s">
        <v>9</v>
      </c>
      <c r="E518" t="s">
        <v>1221</v>
      </c>
      <c r="F518" t="s">
        <v>11</v>
      </c>
      <c r="G518">
        <v>14926</v>
      </c>
      <c r="H518">
        <v>7700</v>
      </c>
      <c r="I518">
        <v>4</v>
      </c>
      <c r="J518">
        <v>97</v>
      </c>
      <c r="Q518">
        <f t="shared" si="468"/>
        <v>477744</v>
      </c>
    </row>
    <row r="519" spans="1:18" x14ac:dyDescent="0.25">
      <c r="A519" t="s">
        <v>1288</v>
      </c>
      <c r="B519" t="s">
        <v>1289</v>
      </c>
      <c r="C519" t="s">
        <v>32</v>
      </c>
      <c r="D519" t="s">
        <v>25</v>
      </c>
      <c r="E519" t="s">
        <v>1290</v>
      </c>
      <c r="F519" t="s">
        <v>5</v>
      </c>
      <c r="G519">
        <v>4128</v>
      </c>
      <c r="H519">
        <v>3535</v>
      </c>
      <c r="I519">
        <v>3.48</v>
      </c>
      <c r="J519">
        <v>32</v>
      </c>
      <c r="K519">
        <f t="shared" ref="K519:K521" ca="1" si="526">IF(F519="Enrolled", TODAY()-E519, "")</f>
        <v>591</v>
      </c>
      <c r="M519">
        <f t="shared" ref="M519:M521" ca="1" si="527">IF(F519="Enrolled",TODAY() - E519,"")</f>
        <v>591</v>
      </c>
      <c r="N519" t="str">
        <f t="shared" ref="N519:N521" si="528">IF(I521&gt;=3.5,"Excellent",IF(I521&gt;=3,"Good",IF(I521&gt;=2,"Average","Poor")))</f>
        <v>Excellent</v>
      </c>
      <c r="O519" t="e">
        <f t="shared" ref="O519:O521" si="529">VLOOKUP(D519, $T$18:$U$23, 2, FALSE)</f>
        <v>#N/A</v>
      </c>
      <c r="P519" t="str">
        <f t="shared" ref="P519:P521" si="530">IF(H519 &gt; 0.5 * G519, "YES", "NO")</f>
        <v>YES</v>
      </c>
      <c r="Q519">
        <f t="shared" si="468"/>
        <v>462818</v>
      </c>
      <c r="R519" t="str">
        <f t="shared" ref="R519:R521" si="531">IF(MONTH(E513)&gt;=6, YEAR(E513) &amp; "-" &amp; YEAR(E513)+1, YEAR(E513)-1 &amp; "-" &amp; YEAR(E513))</f>
        <v>2022-2023</v>
      </c>
    </row>
    <row r="520" spans="1:18" x14ac:dyDescent="0.25">
      <c r="A520" t="s">
        <v>1291</v>
      </c>
      <c r="B520" t="s">
        <v>1292</v>
      </c>
      <c r="C520" t="s">
        <v>55</v>
      </c>
      <c r="D520" t="s">
        <v>65</v>
      </c>
      <c r="E520" t="s">
        <v>1293</v>
      </c>
      <c r="F520" t="s">
        <v>5</v>
      </c>
      <c r="G520">
        <v>3774</v>
      </c>
      <c r="H520">
        <v>3406</v>
      </c>
      <c r="I520">
        <v>3.35</v>
      </c>
      <c r="J520">
        <v>63</v>
      </c>
      <c r="K520">
        <f t="shared" ca="1" si="526"/>
        <v>593</v>
      </c>
      <c r="M520">
        <f t="shared" ca="1" si="527"/>
        <v>593</v>
      </c>
      <c r="N520" t="str">
        <f t="shared" si="528"/>
        <v>Good</v>
      </c>
      <c r="O520" t="e">
        <f t="shared" si="529"/>
        <v>#N/A</v>
      </c>
      <c r="P520" t="str">
        <f t="shared" si="530"/>
        <v>YES</v>
      </c>
      <c r="Q520">
        <f t="shared" si="468"/>
        <v>462818</v>
      </c>
      <c r="R520" t="str">
        <f t="shared" si="531"/>
        <v>2023-2024</v>
      </c>
    </row>
    <row r="521" spans="1:18" x14ac:dyDescent="0.25">
      <c r="A521" t="s">
        <v>1294</v>
      </c>
      <c r="B521" t="s">
        <v>1295</v>
      </c>
      <c r="C521" t="s">
        <v>55</v>
      </c>
      <c r="D521" t="s">
        <v>65</v>
      </c>
      <c r="E521" t="s">
        <v>198</v>
      </c>
      <c r="F521" t="s">
        <v>5</v>
      </c>
      <c r="G521">
        <v>9643</v>
      </c>
      <c r="H521">
        <v>431</v>
      </c>
      <c r="I521">
        <v>3.6</v>
      </c>
      <c r="J521">
        <v>26</v>
      </c>
      <c r="K521">
        <f t="shared" ca="1" si="526"/>
        <v>1109</v>
      </c>
      <c r="M521">
        <f t="shared" ca="1" si="527"/>
        <v>1109</v>
      </c>
      <c r="N521" t="str">
        <f t="shared" si="528"/>
        <v>Good</v>
      </c>
      <c r="O521" t="e">
        <f t="shared" si="529"/>
        <v>#N/A</v>
      </c>
      <c r="P521" t="str">
        <f t="shared" si="530"/>
        <v>NO</v>
      </c>
      <c r="Q521">
        <f t="shared" si="468"/>
        <v>462818</v>
      </c>
      <c r="R521" t="str">
        <f t="shared" si="531"/>
        <v>2024-2025</v>
      </c>
    </row>
    <row r="522" spans="1:18" hidden="1" x14ac:dyDescent="0.25">
      <c r="A522" t="s">
        <v>1296</v>
      </c>
      <c r="B522" t="s">
        <v>1297</v>
      </c>
      <c r="C522" t="s">
        <v>17</v>
      </c>
      <c r="D522" t="s">
        <v>65</v>
      </c>
      <c r="E522" t="s">
        <v>1298</v>
      </c>
      <c r="F522" t="s">
        <v>11</v>
      </c>
      <c r="G522">
        <v>9016</v>
      </c>
      <c r="H522">
        <v>3228</v>
      </c>
      <c r="I522">
        <v>3.24</v>
      </c>
      <c r="J522">
        <v>62</v>
      </c>
      <c r="Q522">
        <f t="shared" si="468"/>
        <v>462818</v>
      </c>
    </row>
    <row r="523" spans="1:18" x14ac:dyDescent="0.25">
      <c r="A523" t="s">
        <v>1299</v>
      </c>
      <c r="B523" t="s">
        <v>1300</v>
      </c>
      <c r="C523" t="s">
        <v>58</v>
      </c>
      <c r="D523" t="s">
        <v>9</v>
      </c>
      <c r="E523" t="s">
        <v>1301</v>
      </c>
      <c r="F523" t="s">
        <v>5</v>
      </c>
      <c r="G523">
        <v>6221</v>
      </c>
      <c r="H523">
        <v>5210</v>
      </c>
      <c r="I523">
        <v>3.38</v>
      </c>
      <c r="J523">
        <v>103</v>
      </c>
      <c r="K523">
        <f t="shared" ref="K523:K525" ca="1" si="532">IF(F523="Enrolled", TODAY()-E523, "")</f>
        <v>509</v>
      </c>
      <c r="M523">
        <f t="shared" ref="M523:M525" ca="1" si="533">IF(F523="Enrolled",TODAY() - E523,"")</f>
        <v>509</v>
      </c>
      <c r="N523" t="str">
        <f t="shared" ref="N523:N525" si="534">IF(I525&gt;=3.5,"Excellent",IF(I525&gt;=3,"Good",IF(I525&gt;=2,"Average","Poor")))</f>
        <v>Average</v>
      </c>
      <c r="O523" t="e">
        <f t="shared" ref="O523:O525" si="535">VLOOKUP(D523, $T$18:$U$23, 2, FALSE)</f>
        <v>#N/A</v>
      </c>
      <c r="P523" t="str">
        <f t="shared" ref="P523:P525" si="536">IF(H523 &gt; 0.5 * G523, "YES", "NO")</f>
        <v>YES</v>
      </c>
      <c r="Q523">
        <f t="shared" si="468"/>
        <v>462818</v>
      </c>
      <c r="R523" t="str">
        <f t="shared" ref="R523:R525" si="537">IF(MONTH(E517)&gt;=6, YEAR(E517) &amp; "-" &amp; YEAR(E517)+1, YEAR(E517)-1 &amp; "-" &amp; YEAR(E517))</f>
        <v>2022-2023</v>
      </c>
    </row>
    <row r="524" spans="1:18" x14ac:dyDescent="0.25">
      <c r="A524" t="s">
        <v>1302</v>
      </c>
      <c r="B524" t="s">
        <v>1303</v>
      </c>
      <c r="C524" t="s">
        <v>17</v>
      </c>
      <c r="D524" t="s">
        <v>65</v>
      </c>
      <c r="E524" s="1">
        <v>44838</v>
      </c>
      <c r="F524" t="s">
        <v>5</v>
      </c>
      <c r="G524">
        <v>3532</v>
      </c>
      <c r="H524">
        <v>5236</v>
      </c>
      <c r="I524">
        <v>3.48</v>
      </c>
      <c r="J524">
        <v>115</v>
      </c>
      <c r="K524">
        <f t="shared" ca="1" si="532"/>
        <v>1129</v>
      </c>
      <c r="M524">
        <f t="shared" ca="1" si="533"/>
        <v>1129</v>
      </c>
      <c r="N524" t="str">
        <f t="shared" si="534"/>
        <v>Average</v>
      </c>
      <c r="O524" t="e">
        <f t="shared" si="535"/>
        <v>#N/A</v>
      </c>
      <c r="P524" t="str">
        <f t="shared" si="536"/>
        <v>YES</v>
      </c>
      <c r="Q524">
        <f t="shared" si="468"/>
        <v>462818</v>
      </c>
      <c r="R524" t="str">
        <f t="shared" si="537"/>
        <v>2021-2022</v>
      </c>
    </row>
    <row r="525" spans="1:18" x14ac:dyDescent="0.25">
      <c r="A525" t="s">
        <v>1304</v>
      </c>
      <c r="B525" t="s">
        <v>1305</v>
      </c>
      <c r="C525" t="s">
        <v>32</v>
      </c>
      <c r="D525" t="s">
        <v>25</v>
      </c>
      <c r="E525" s="1">
        <v>45418</v>
      </c>
      <c r="F525" t="s">
        <v>5</v>
      </c>
      <c r="G525">
        <v>9455</v>
      </c>
      <c r="H525">
        <v>1102</v>
      </c>
      <c r="I525">
        <v>2.98</v>
      </c>
      <c r="J525">
        <v>15</v>
      </c>
      <c r="K525">
        <f t="shared" ca="1" si="532"/>
        <v>549</v>
      </c>
      <c r="M525">
        <f t="shared" ca="1" si="533"/>
        <v>549</v>
      </c>
      <c r="N525" t="str">
        <f t="shared" si="534"/>
        <v>Average</v>
      </c>
      <c r="O525" t="e">
        <f t="shared" si="535"/>
        <v>#N/A</v>
      </c>
      <c r="P525" t="str">
        <f t="shared" si="536"/>
        <v>NO</v>
      </c>
      <c r="Q525">
        <f t="shared" ref="Q525:Q588" si="538">SUMIFS(G525:G1723, F525:F1723, "Completed", D525:D1723, "Science")</f>
        <v>462818</v>
      </c>
      <c r="R525" t="str">
        <f t="shared" si="537"/>
        <v>2023-2024</v>
      </c>
    </row>
    <row r="526" spans="1:18" hidden="1" x14ac:dyDescent="0.25">
      <c r="A526" t="s">
        <v>1306</v>
      </c>
      <c r="B526" t="s">
        <v>1307</v>
      </c>
      <c r="C526" t="s">
        <v>2</v>
      </c>
      <c r="D526" t="s">
        <v>25</v>
      </c>
      <c r="E526" s="1">
        <v>45541</v>
      </c>
      <c r="F526" t="s">
        <v>11</v>
      </c>
      <c r="G526">
        <v>4219</v>
      </c>
      <c r="H526">
        <v>6695</v>
      </c>
      <c r="I526">
        <v>2.4300000000000002</v>
      </c>
      <c r="J526">
        <v>79</v>
      </c>
      <c r="Q526">
        <f t="shared" si="538"/>
        <v>462818</v>
      </c>
    </row>
    <row r="527" spans="1:18" x14ac:dyDescent="0.25">
      <c r="A527" t="s">
        <v>1308</v>
      </c>
      <c r="B527" t="s">
        <v>1309</v>
      </c>
      <c r="C527" t="s">
        <v>32</v>
      </c>
      <c r="D527" t="s">
        <v>9</v>
      </c>
      <c r="E527" s="1">
        <v>44567</v>
      </c>
      <c r="F527" t="s">
        <v>5</v>
      </c>
      <c r="G527">
        <v>2395</v>
      </c>
      <c r="H527">
        <v>5019</v>
      </c>
      <c r="I527">
        <v>2.34</v>
      </c>
      <c r="J527">
        <v>53</v>
      </c>
      <c r="K527">
        <f t="shared" ref="K527" ca="1" si="539">IF(F527="Enrolled", TODAY()-E527, "")</f>
        <v>1400</v>
      </c>
      <c r="M527">
        <f ca="1">IF(F527="Enrolled",TODAY() - E527,"")</f>
        <v>1400</v>
      </c>
      <c r="N527" t="str">
        <f>IF(I529&gt;=3.5,"Excellent",IF(I529&gt;=3,"Good",IF(I529&gt;=2,"Average","Poor")))</f>
        <v>Good</v>
      </c>
      <c r="O527" t="e">
        <f>VLOOKUP(D527, $T$18:$U$23, 2, FALSE)</f>
        <v>#N/A</v>
      </c>
      <c r="P527" t="str">
        <f t="shared" ref="P527" si="540">IF(H527 &gt; 0.5 * G527, "YES", "NO")</f>
        <v>YES</v>
      </c>
      <c r="Q527">
        <f t="shared" si="538"/>
        <v>462818</v>
      </c>
      <c r="R527" t="str">
        <f>IF(MONTH(E521)&gt;=6, YEAR(E521) &amp; "-" &amp; YEAR(E521)+1, YEAR(E521)-1 &amp; "-" &amp; YEAR(E521))</f>
        <v>2022-2023</v>
      </c>
    </row>
    <row r="528" spans="1:18" hidden="1" x14ac:dyDescent="0.25">
      <c r="A528" t="s">
        <v>1310</v>
      </c>
      <c r="B528" t="s">
        <v>1311</v>
      </c>
      <c r="C528" t="s">
        <v>21</v>
      </c>
      <c r="D528" t="s">
        <v>25</v>
      </c>
      <c r="E528" t="s">
        <v>1312</v>
      </c>
      <c r="F528" t="s">
        <v>36</v>
      </c>
      <c r="G528">
        <v>9775</v>
      </c>
      <c r="H528">
        <v>3000</v>
      </c>
      <c r="I528">
        <v>3.2</v>
      </c>
      <c r="J528">
        <v>32</v>
      </c>
      <c r="Q528">
        <f t="shared" si="538"/>
        <v>462818</v>
      </c>
    </row>
    <row r="529" spans="1:18" x14ac:dyDescent="0.25">
      <c r="A529" t="s">
        <v>1313</v>
      </c>
      <c r="B529" t="s">
        <v>1314</v>
      </c>
      <c r="C529" t="s">
        <v>8</v>
      </c>
      <c r="D529" t="s">
        <v>65</v>
      </c>
      <c r="E529" t="s">
        <v>484</v>
      </c>
      <c r="F529" t="s">
        <v>5</v>
      </c>
      <c r="G529">
        <v>4629</v>
      </c>
      <c r="H529">
        <v>3746</v>
      </c>
      <c r="I529">
        <v>3.38</v>
      </c>
      <c r="J529">
        <v>34</v>
      </c>
      <c r="K529">
        <f t="shared" ref="K529:K530" ca="1" si="541">IF(F529="Enrolled", TODAY()-E529, "")</f>
        <v>1385</v>
      </c>
      <c r="M529">
        <f t="shared" ref="M529:M530" ca="1" si="542">IF(F529="Enrolled",TODAY() - E529,"")</f>
        <v>1385</v>
      </c>
      <c r="N529" t="str">
        <f t="shared" ref="N529:N530" si="543">IF(I531&gt;=3.5,"Excellent",IF(I531&gt;=3,"Good",IF(I531&gt;=2,"Average","Poor")))</f>
        <v>Excellent</v>
      </c>
      <c r="O529" t="e">
        <f t="shared" ref="O529:O530" si="544">VLOOKUP(D529, $T$18:$U$23, 2, FALSE)</f>
        <v>#N/A</v>
      </c>
      <c r="P529" t="str">
        <f t="shared" ref="P529:P530" si="545">IF(H529 &gt; 0.5 * G529, "YES", "NO")</f>
        <v>YES</v>
      </c>
      <c r="Q529">
        <f t="shared" si="538"/>
        <v>462818</v>
      </c>
      <c r="R529" t="str">
        <f t="shared" ref="R529:R530" si="546">IF(MONTH(E523)&gt;=6, YEAR(E523) &amp; "-" &amp; YEAR(E523)+1, YEAR(E523)-1 &amp; "-" &amp; YEAR(E523))</f>
        <v>2024-2025</v>
      </c>
    </row>
    <row r="530" spans="1:18" x14ac:dyDescent="0.25">
      <c r="A530" t="s">
        <v>1315</v>
      </c>
      <c r="B530" t="s">
        <v>1316</v>
      </c>
      <c r="C530" t="s">
        <v>14</v>
      </c>
      <c r="D530" t="s">
        <v>25</v>
      </c>
      <c r="E530" s="1">
        <v>44805</v>
      </c>
      <c r="F530" t="s">
        <v>5</v>
      </c>
      <c r="G530">
        <v>7248</v>
      </c>
      <c r="H530">
        <v>9409</v>
      </c>
      <c r="I530">
        <v>2.7</v>
      </c>
      <c r="J530">
        <v>49</v>
      </c>
      <c r="K530">
        <f t="shared" ca="1" si="541"/>
        <v>1162</v>
      </c>
      <c r="M530">
        <f t="shared" ca="1" si="542"/>
        <v>1162</v>
      </c>
      <c r="N530" t="str">
        <f t="shared" si="543"/>
        <v>Excellent</v>
      </c>
      <c r="O530" t="e">
        <f t="shared" si="544"/>
        <v>#N/A</v>
      </c>
      <c r="P530" t="str">
        <f t="shared" si="545"/>
        <v>YES</v>
      </c>
      <c r="Q530">
        <f t="shared" si="538"/>
        <v>462818</v>
      </c>
      <c r="R530" t="str">
        <f t="shared" si="546"/>
        <v>2022-2023</v>
      </c>
    </row>
    <row r="531" spans="1:18" hidden="1" x14ac:dyDescent="0.25">
      <c r="A531" t="s">
        <v>1317</v>
      </c>
      <c r="B531" t="s">
        <v>1318</v>
      </c>
      <c r="C531" t="s">
        <v>2</v>
      </c>
      <c r="D531" t="s">
        <v>65</v>
      </c>
      <c r="E531" t="s">
        <v>1319</v>
      </c>
      <c r="F531" t="s">
        <v>11</v>
      </c>
      <c r="G531">
        <v>4602</v>
      </c>
      <c r="H531">
        <v>4429</v>
      </c>
      <c r="I531">
        <v>3.6</v>
      </c>
      <c r="J531">
        <v>67</v>
      </c>
      <c r="Q531">
        <f t="shared" si="538"/>
        <v>462818</v>
      </c>
    </row>
    <row r="532" spans="1:18" x14ac:dyDescent="0.25">
      <c r="A532" t="s">
        <v>1320</v>
      </c>
      <c r="B532" t="s">
        <v>1321</v>
      </c>
      <c r="C532" t="s">
        <v>55</v>
      </c>
      <c r="D532" t="s">
        <v>25</v>
      </c>
      <c r="E532" s="1">
        <v>45354</v>
      </c>
      <c r="F532" t="s">
        <v>5</v>
      </c>
      <c r="G532">
        <v>10379</v>
      </c>
      <c r="H532">
        <v>4077</v>
      </c>
      <c r="I532">
        <v>3.5</v>
      </c>
      <c r="J532">
        <v>76</v>
      </c>
      <c r="K532">
        <f t="shared" ref="K532" ca="1" si="547">IF(F532="Enrolled", TODAY()-E532, "")</f>
        <v>613</v>
      </c>
      <c r="M532">
        <f ca="1">IF(F532="Enrolled",TODAY() - E532,"")</f>
        <v>613</v>
      </c>
      <c r="N532" t="str">
        <f>IF(I534&gt;=3.5,"Excellent",IF(I534&gt;=3,"Good",IF(I534&gt;=2,"Average","Poor")))</f>
        <v>Excellent</v>
      </c>
      <c r="O532" t="e">
        <f>VLOOKUP(D532, $T$18:$U$23, 2, FALSE)</f>
        <v>#N/A</v>
      </c>
      <c r="P532" t="str">
        <f t="shared" ref="P532" si="548">IF(H532 &gt; 0.5 * G532, "YES", "NO")</f>
        <v>NO</v>
      </c>
      <c r="Q532">
        <f t="shared" si="538"/>
        <v>462818</v>
      </c>
      <c r="R532" t="str">
        <f>IF(MONTH(E526)&gt;=6, YEAR(E526) &amp; "-" &amp; YEAR(E526)+1, YEAR(E526)-1 &amp; "-" &amp; YEAR(E526))</f>
        <v>2024-2025</v>
      </c>
    </row>
    <row r="533" spans="1:18" hidden="1" x14ac:dyDescent="0.25">
      <c r="A533" t="s">
        <v>1322</v>
      </c>
      <c r="B533" t="s">
        <v>1323</v>
      </c>
      <c r="C533" t="s">
        <v>32</v>
      </c>
      <c r="D533" t="s">
        <v>3</v>
      </c>
      <c r="E533" t="s">
        <v>227</v>
      </c>
      <c r="F533" t="s">
        <v>11</v>
      </c>
      <c r="G533">
        <v>11404</v>
      </c>
      <c r="H533">
        <v>8999</v>
      </c>
      <c r="I533">
        <v>2.9</v>
      </c>
      <c r="J533">
        <v>81</v>
      </c>
      <c r="Q533">
        <f t="shared" si="538"/>
        <v>462818</v>
      </c>
    </row>
    <row r="534" spans="1:18" x14ac:dyDescent="0.25">
      <c r="A534" t="s">
        <v>1324</v>
      </c>
      <c r="B534" t="s">
        <v>1325</v>
      </c>
      <c r="C534" t="s">
        <v>14</v>
      </c>
      <c r="D534" t="s">
        <v>65</v>
      </c>
      <c r="E534" t="s">
        <v>1326</v>
      </c>
      <c r="F534" t="s">
        <v>5</v>
      </c>
      <c r="G534">
        <v>2748</v>
      </c>
      <c r="H534">
        <v>9068</v>
      </c>
      <c r="I534">
        <v>3.73</v>
      </c>
      <c r="J534">
        <v>89</v>
      </c>
      <c r="K534">
        <f t="shared" ref="K534:K536" ca="1" si="549">IF(F534="Enrolled", TODAY()-E534, "")</f>
        <v>1146</v>
      </c>
      <c r="M534">
        <f t="shared" ref="M534:M536" ca="1" si="550">IF(F534="Enrolled",TODAY() - E534,"")</f>
        <v>1146</v>
      </c>
      <c r="N534" t="str">
        <f t="shared" ref="N534:N536" si="551">IF(I536&gt;=3.5,"Excellent",IF(I536&gt;=3,"Good",IF(I536&gt;=2,"Average","Poor")))</f>
        <v>Average</v>
      </c>
      <c r="O534" t="e">
        <f t="shared" ref="O534:O536" si="552">VLOOKUP(D534, $T$18:$U$23, 2, FALSE)</f>
        <v>#N/A</v>
      </c>
      <c r="P534" t="str">
        <f t="shared" ref="P534:P536" si="553">IF(H534 &gt; 0.5 * G534, "YES", "NO")</f>
        <v>YES</v>
      </c>
      <c r="Q534">
        <f t="shared" si="538"/>
        <v>462818</v>
      </c>
      <c r="R534" t="str">
        <f t="shared" ref="R534:R536" si="554">IF(MONTH(E528)&gt;=6, YEAR(E528) &amp; "-" &amp; YEAR(E528)+1, YEAR(E528)-1 &amp; "-" &amp; YEAR(E528))</f>
        <v>2023-2024</v>
      </c>
    </row>
    <row r="535" spans="1:18" x14ac:dyDescent="0.25">
      <c r="A535" t="s">
        <v>1327</v>
      </c>
      <c r="B535" t="s">
        <v>1328</v>
      </c>
      <c r="C535" t="s">
        <v>32</v>
      </c>
      <c r="D535" t="s">
        <v>25</v>
      </c>
      <c r="E535" t="s">
        <v>1329</v>
      </c>
      <c r="F535" t="s">
        <v>5</v>
      </c>
      <c r="G535">
        <v>14781</v>
      </c>
      <c r="H535">
        <v>7325</v>
      </c>
      <c r="I535">
        <v>3.22</v>
      </c>
      <c r="J535">
        <v>79</v>
      </c>
      <c r="K535">
        <f t="shared" ca="1" si="549"/>
        <v>809</v>
      </c>
      <c r="M535">
        <f t="shared" ca="1" si="550"/>
        <v>809</v>
      </c>
      <c r="N535" t="str">
        <f t="shared" si="551"/>
        <v>Excellent</v>
      </c>
      <c r="O535" t="e">
        <f t="shared" si="552"/>
        <v>#N/A</v>
      </c>
      <c r="P535" t="str">
        <f t="shared" si="553"/>
        <v>NO</v>
      </c>
      <c r="Q535">
        <f t="shared" si="538"/>
        <v>462818</v>
      </c>
      <c r="R535" t="str">
        <f t="shared" si="554"/>
        <v>2021-2022</v>
      </c>
    </row>
    <row r="536" spans="1:18" x14ac:dyDescent="0.25">
      <c r="A536" t="s">
        <v>1330</v>
      </c>
      <c r="B536" t="s">
        <v>1331</v>
      </c>
      <c r="C536" t="s">
        <v>55</v>
      </c>
      <c r="D536" t="s">
        <v>65</v>
      </c>
      <c r="E536" t="s">
        <v>1332</v>
      </c>
      <c r="F536" t="s">
        <v>5</v>
      </c>
      <c r="G536">
        <v>8468</v>
      </c>
      <c r="H536">
        <v>802</v>
      </c>
      <c r="I536">
        <v>2.74</v>
      </c>
      <c r="J536">
        <v>117</v>
      </c>
      <c r="K536">
        <f t="shared" ca="1" si="549"/>
        <v>752</v>
      </c>
      <c r="M536">
        <f t="shared" ca="1" si="550"/>
        <v>752</v>
      </c>
      <c r="N536" t="str">
        <f t="shared" si="551"/>
        <v>Average</v>
      </c>
      <c r="O536" t="e">
        <f t="shared" si="552"/>
        <v>#N/A</v>
      </c>
      <c r="P536" t="str">
        <f t="shared" si="553"/>
        <v>NO</v>
      </c>
      <c r="Q536">
        <f t="shared" si="538"/>
        <v>462818</v>
      </c>
      <c r="R536" t="str">
        <f t="shared" si="554"/>
        <v>2022-2023</v>
      </c>
    </row>
    <row r="537" spans="1:18" hidden="1" x14ac:dyDescent="0.25">
      <c r="A537" t="s">
        <v>1333</v>
      </c>
      <c r="B537" t="s">
        <v>1334</v>
      </c>
      <c r="C537" t="s">
        <v>14</v>
      </c>
      <c r="D537" t="s">
        <v>65</v>
      </c>
      <c r="E537" t="s">
        <v>298</v>
      </c>
      <c r="F537" t="s">
        <v>36</v>
      </c>
      <c r="G537">
        <v>3482</v>
      </c>
      <c r="H537">
        <v>2557</v>
      </c>
      <c r="I537">
        <v>3.67</v>
      </c>
      <c r="J537">
        <v>62</v>
      </c>
      <c r="Q537">
        <f t="shared" si="538"/>
        <v>462818</v>
      </c>
    </row>
    <row r="538" spans="1:18" hidden="1" x14ac:dyDescent="0.25">
      <c r="A538" t="s">
        <v>1335</v>
      </c>
      <c r="B538" t="s">
        <v>1336</v>
      </c>
      <c r="C538" t="s">
        <v>2</v>
      </c>
      <c r="D538" t="s">
        <v>9</v>
      </c>
      <c r="E538" s="1">
        <v>44904</v>
      </c>
      <c r="F538" t="s">
        <v>11</v>
      </c>
      <c r="G538">
        <v>10273</v>
      </c>
      <c r="H538">
        <v>782</v>
      </c>
      <c r="I538">
        <v>2.9</v>
      </c>
      <c r="J538">
        <v>59</v>
      </c>
      <c r="Q538">
        <f t="shared" si="538"/>
        <v>462818</v>
      </c>
    </row>
    <row r="539" spans="1:18" x14ac:dyDescent="0.25">
      <c r="A539" t="s">
        <v>1337</v>
      </c>
      <c r="B539" t="s">
        <v>1338</v>
      </c>
      <c r="C539" t="s">
        <v>55</v>
      </c>
      <c r="D539" t="s">
        <v>3</v>
      </c>
      <c r="E539" t="s">
        <v>1339</v>
      </c>
      <c r="F539" t="s">
        <v>5</v>
      </c>
      <c r="G539">
        <v>3359</v>
      </c>
      <c r="H539">
        <v>7027</v>
      </c>
      <c r="I539">
        <v>2.0499999999999998</v>
      </c>
      <c r="J539">
        <v>73</v>
      </c>
      <c r="K539">
        <f t="shared" ref="K539:K540" ca="1" si="555">IF(F539="Enrolled", TODAY()-E539, "")</f>
        <v>1089</v>
      </c>
      <c r="M539">
        <f t="shared" ref="M539:M540" ca="1" si="556">IF(F539="Enrolled",TODAY() - E539,"")</f>
        <v>1089</v>
      </c>
      <c r="N539" t="str">
        <f t="shared" ref="N539:N540" si="557">IF(I541&gt;=3.5,"Excellent",IF(I541&gt;=3,"Good",IF(I541&gt;=2,"Average","Poor")))</f>
        <v>Average</v>
      </c>
      <c r="O539" t="e">
        <f t="shared" ref="O539:O540" si="558">VLOOKUP(D539, $T$18:$U$23, 2, FALSE)</f>
        <v>#N/A</v>
      </c>
      <c r="P539" t="str">
        <f t="shared" ref="P539:P540" si="559">IF(H539 &gt; 0.5 * G539, "YES", "NO")</f>
        <v>YES</v>
      </c>
      <c r="Q539">
        <f t="shared" si="538"/>
        <v>452545</v>
      </c>
      <c r="R539" t="str">
        <f t="shared" ref="R539:R540" si="560">IF(MONTH(E533)&gt;=6, YEAR(E533) &amp; "-" &amp; YEAR(E533)+1, YEAR(E533)-1 &amp; "-" &amp; YEAR(E533))</f>
        <v>2022-2023</v>
      </c>
    </row>
    <row r="540" spans="1:18" x14ac:dyDescent="0.25">
      <c r="A540" t="s">
        <v>1340</v>
      </c>
      <c r="B540" t="s">
        <v>1341</v>
      </c>
      <c r="C540" t="s">
        <v>14</v>
      </c>
      <c r="D540" t="s">
        <v>25</v>
      </c>
      <c r="E540" t="s">
        <v>777</v>
      </c>
      <c r="F540" t="s">
        <v>5</v>
      </c>
      <c r="G540">
        <v>12403</v>
      </c>
      <c r="H540">
        <v>6720</v>
      </c>
      <c r="I540">
        <v>2.15</v>
      </c>
      <c r="J540">
        <v>48</v>
      </c>
      <c r="K540">
        <f t="shared" ca="1" si="555"/>
        <v>595</v>
      </c>
      <c r="M540">
        <f t="shared" ca="1" si="556"/>
        <v>595</v>
      </c>
      <c r="N540" t="str">
        <f t="shared" si="557"/>
        <v>Average</v>
      </c>
      <c r="O540" t="e">
        <f t="shared" si="558"/>
        <v>#N/A</v>
      </c>
      <c r="P540" t="str">
        <f t="shared" si="559"/>
        <v>YES</v>
      </c>
      <c r="Q540">
        <f t="shared" si="538"/>
        <v>452545</v>
      </c>
      <c r="R540" t="str">
        <f t="shared" si="560"/>
        <v>2022-2023</v>
      </c>
    </row>
    <row r="541" spans="1:18" hidden="1" x14ac:dyDescent="0.25">
      <c r="A541" t="s">
        <v>1342</v>
      </c>
      <c r="B541" t="s">
        <v>1343</v>
      </c>
      <c r="C541" t="s">
        <v>55</v>
      </c>
      <c r="D541" t="s">
        <v>9</v>
      </c>
      <c r="E541" t="s">
        <v>201</v>
      </c>
      <c r="F541" t="s">
        <v>36</v>
      </c>
      <c r="G541">
        <v>14781</v>
      </c>
      <c r="H541">
        <v>8496</v>
      </c>
      <c r="I541">
        <v>2.42</v>
      </c>
      <c r="J541">
        <v>16</v>
      </c>
      <c r="Q541">
        <f t="shared" si="538"/>
        <v>452545</v>
      </c>
    </row>
    <row r="542" spans="1:18" hidden="1" x14ac:dyDescent="0.25">
      <c r="A542" t="s">
        <v>1344</v>
      </c>
      <c r="B542" t="s">
        <v>1345</v>
      </c>
      <c r="C542" t="s">
        <v>17</v>
      </c>
      <c r="D542" t="s">
        <v>9</v>
      </c>
      <c r="E542" t="s">
        <v>997</v>
      </c>
      <c r="F542" t="s">
        <v>36</v>
      </c>
      <c r="G542">
        <v>11844</v>
      </c>
      <c r="H542">
        <v>3086</v>
      </c>
      <c r="I542">
        <v>2.65</v>
      </c>
      <c r="J542">
        <v>115</v>
      </c>
      <c r="Q542">
        <f t="shared" si="538"/>
        <v>452545</v>
      </c>
    </row>
    <row r="543" spans="1:18" x14ac:dyDescent="0.25">
      <c r="A543" t="s">
        <v>1346</v>
      </c>
      <c r="B543" t="s">
        <v>1347</v>
      </c>
      <c r="C543" t="s">
        <v>17</v>
      </c>
      <c r="D543" t="s">
        <v>65</v>
      </c>
      <c r="E543" s="1">
        <v>44872</v>
      </c>
      <c r="F543" t="s">
        <v>5</v>
      </c>
      <c r="G543">
        <v>13562</v>
      </c>
      <c r="H543">
        <v>378</v>
      </c>
      <c r="I543">
        <v>2.88</v>
      </c>
      <c r="J543">
        <v>83</v>
      </c>
      <c r="K543">
        <f t="shared" ref="K543:K545" ca="1" si="561">IF(F543="Enrolled", TODAY()-E543, "")</f>
        <v>1095</v>
      </c>
      <c r="M543">
        <f t="shared" ref="M543:M545" ca="1" si="562">IF(F543="Enrolled",TODAY() - E543,"")</f>
        <v>1095</v>
      </c>
      <c r="N543" t="str">
        <f t="shared" ref="N543:N545" si="563">IF(I545&gt;=3.5,"Excellent",IF(I545&gt;=3,"Good",IF(I545&gt;=2,"Average","Poor")))</f>
        <v>Average</v>
      </c>
      <c r="O543" t="e">
        <f t="shared" ref="O543:O545" si="564">VLOOKUP(D543, $T$18:$U$23, 2, FALSE)</f>
        <v>#N/A</v>
      </c>
      <c r="P543" t="str">
        <f t="shared" ref="P543:P545" si="565">IF(H543 &gt; 0.5 * G543, "YES", "NO")</f>
        <v>NO</v>
      </c>
      <c r="Q543">
        <f t="shared" si="538"/>
        <v>452545</v>
      </c>
      <c r="R543" t="str">
        <f t="shared" ref="R543:R545" si="566">IF(MONTH(E537)&gt;=6, YEAR(E537) &amp; "-" &amp; YEAR(E537)+1, YEAR(E537)-1 &amp; "-" &amp; YEAR(E537))</f>
        <v>2022-2023</v>
      </c>
    </row>
    <row r="544" spans="1:18" x14ac:dyDescent="0.25">
      <c r="A544" t="s">
        <v>1348</v>
      </c>
      <c r="B544" t="s">
        <v>1349</v>
      </c>
      <c r="C544" t="s">
        <v>21</v>
      </c>
      <c r="D544" t="s">
        <v>9</v>
      </c>
      <c r="E544" t="s">
        <v>657</v>
      </c>
      <c r="F544" t="s">
        <v>5</v>
      </c>
      <c r="G544">
        <v>6188</v>
      </c>
      <c r="H544">
        <v>3078</v>
      </c>
      <c r="I544">
        <v>3.67</v>
      </c>
      <c r="J544">
        <v>45</v>
      </c>
      <c r="K544">
        <f t="shared" ca="1" si="561"/>
        <v>1382</v>
      </c>
      <c r="M544">
        <f t="shared" ca="1" si="562"/>
        <v>1382</v>
      </c>
      <c r="N544" t="str">
        <f t="shared" si="563"/>
        <v>Good</v>
      </c>
      <c r="O544" t="e">
        <f t="shared" si="564"/>
        <v>#N/A</v>
      </c>
      <c r="P544" t="str">
        <f t="shared" si="565"/>
        <v>NO</v>
      </c>
      <c r="Q544">
        <f t="shared" si="538"/>
        <v>452545</v>
      </c>
      <c r="R544" t="str">
        <f t="shared" si="566"/>
        <v>2022-2023</v>
      </c>
    </row>
    <row r="545" spans="1:18" x14ac:dyDescent="0.25">
      <c r="A545" t="s">
        <v>1350</v>
      </c>
      <c r="B545" t="s">
        <v>1351</v>
      </c>
      <c r="C545" t="s">
        <v>55</v>
      </c>
      <c r="D545" t="s">
        <v>65</v>
      </c>
      <c r="E545" t="s">
        <v>675</v>
      </c>
      <c r="F545" t="s">
        <v>5</v>
      </c>
      <c r="G545">
        <v>9594</v>
      </c>
      <c r="H545">
        <v>2423</v>
      </c>
      <c r="I545">
        <v>2.1</v>
      </c>
      <c r="J545">
        <v>96</v>
      </c>
      <c r="K545">
        <f t="shared" ca="1" si="561"/>
        <v>691</v>
      </c>
      <c r="M545">
        <f t="shared" ca="1" si="562"/>
        <v>691</v>
      </c>
      <c r="N545" t="str">
        <f t="shared" si="563"/>
        <v>Average</v>
      </c>
      <c r="O545" t="e">
        <f t="shared" si="564"/>
        <v>#N/A</v>
      </c>
      <c r="P545" t="str">
        <f t="shared" si="565"/>
        <v>NO</v>
      </c>
      <c r="Q545">
        <f t="shared" si="538"/>
        <v>452545</v>
      </c>
      <c r="R545" t="str">
        <f t="shared" si="566"/>
        <v>2022-2023</v>
      </c>
    </row>
    <row r="546" spans="1:18" hidden="1" x14ac:dyDescent="0.25">
      <c r="A546" t="s">
        <v>1352</v>
      </c>
      <c r="B546" t="s">
        <v>1353</v>
      </c>
      <c r="C546" t="s">
        <v>55</v>
      </c>
      <c r="D546" t="s">
        <v>3</v>
      </c>
      <c r="E546" s="1">
        <v>45052</v>
      </c>
      <c r="F546" t="s">
        <v>36</v>
      </c>
      <c r="G546">
        <v>11109</v>
      </c>
      <c r="H546">
        <v>8899</v>
      </c>
      <c r="I546">
        <v>3.47</v>
      </c>
      <c r="J546">
        <v>109</v>
      </c>
      <c r="Q546">
        <f t="shared" si="538"/>
        <v>452545</v>
      </c>
    </row>
    <row r="547" spans="1:18" x14ac:dyDescent="0.25">
      <c r="A547" t="s">
        <v>1354</v>
      </c>
      <c r="B547" t="s">
        <v>1355</v>
      </c>
      <c r="C547" t="s">
        <v>21</v>
      </c>
      <c r="D547" t="s">
        <v>9</v>
      </c>
      <c r="E547" t="s">
        <v>1356</v>
      </c>
      <c r="F547" t="s">
        <v>5</v>
      </c>
      <c r="G547">
        <v>13950</v>
      </c>
      <c r="H547">
        <v>6684</v>
      </c>
      <c r="I547">
        <v>2.37</v>
      </c>
      <c r="J547">
        <v>103</v>
      </c>
      <c r="K547">
        <f t="shared" ref="K547:K548" ca="1" si="567">IF(F547="Enrolled", TODAY()-E547, "")</f>
        <v>890</v>
      </c>
      <c r="M547">
        <f t="shared" ref="M547:M548" ca="1" si="568">IF(F547="Enrolled",TODAY() - E547,"")</f>
        <v>890</v>
      </c>
      <c r="N547" t="str">
        <f t="shared" ref="N547:N548" si="569">IF(I549&gt;=3.5,"Excellent",IF(I549&gt;=3,"Good",IF(I549&gt;=2,"Average","Poor")))</f>
        <v>Average</v>
      </c>
      <c r="O547" t="e">
        <f t="shared" ref="O547:O548" si="570">VLOOKUP(D547, $T$18:$U$23, 2, FALSE)</f>
        <v>#N/A</v>
      </c>
      <c r="P547" t="str">
        <f t="shared" ref="P547:P548" si="571">IF(H547 &gt; 0.5 * G547, "YES", "NO")</f>
        <v>NO</v>
      </c>
      <c r="Q547">
        <f t="shared" si="538"/>
        <v>452545</v>
      </c>
      <c r="R547" t="str">
        <f t="shared" ref="R547:R548" si="572">IF(MONTH(E541)&gt;=6, YEAR(E541) &amp; "-" &amp; YEAR(E541)+1, YEAR(E541)-1 &amp; "-" &amp; YEAR(E541))</f>
        <v>2023-2024</v>
      </c>
    </row>
    <row r="548" spans="1:18" x14ac:dyDescent="0.25">
      <c r="A548" t="s">
        <v>1357</v>
      </c>
      <c r="B548" t="s">
        <v>1358</v>
      </c>
      <c r="C548" t="s">
        <v>17</v>
      </c>
      <c r="D548" t="s">
        <v>9</v>
      </c>
      <c r="E548" s="1">
        <v>45019</v>
      </c>
      <c r="F548" t="s">
        <v>5</v>
      </c>
      <c r="G548">
        <v>13070</v>
      </c>
      <c r="H548">
        <v>5252</v>
      </c>
      <c r="I548">
        <v>2.19</v>
      </c>
      <c r="J548">
        <v>94</v>
      </c>
      <c r="K548">
        <f t="shared" ca="1" si="567"/>
        <v>948</v>
      </c>
      <c r="M548">
        <f t="shared" ca="1" si="568"/>
        <v>948</v>
      </c>
      <c r="N548" t="str">
        <f t="shared" si="569"/>
        <v>Excellent</v>
      </c>
      <c r="O548" t="e">
        <f t="shared" si="570"/>
        <v>#N/A</v>
      </c>
      <c r="P548" t="str">
        <f t="shared" si="571"/>
        <v>NO</v>
      </c>
      <c r="Q548">
        <f t="shared" si="538"/>
        <v>452545</v>
      </c>
      <c r="R548" t="str">
        <f t="shared" si="572"/>
        <v>2021-2022</v>
      </c>
    </row>
    <row r="549" spans="1:18" hidden="1" x14ac:dyDescent="0.25">
      <c r="A549" t="s">
        <v>1359</v>
      </c>
      <c r="B549" t="s">
        <v>1360</v>
      </c>
      <c r="C549" t="s">
        <v>58</v>
      </c>
      <c r="D549" t="s">
        <v>25</v>
      </c>
      <c r="E549" t="s">
        <v>272</v>
      </c>
      <c r="F549" t="s">
        <v>36</v>
      </c>
      <c r="G549">
        <v>6161</v>
      </c>
      <c r="H549">
        <v>9625</v>
      </c>
      <c r="I549">
        <v>2.84</v>
      </c>
      <c r="J549">
        <v>50</v>
      </c>
      <c r="Q549">
        <f t="shared" si="538"/>
        <v>452545</v>
      </c>
    </row>
    <row r="550" spans="1:18" hidden="1" x14ac:dyDescent="0.25">
      <c r="A550" t="s">
        <v>1361</v>
      </c>
      <c r="B550" t="s">
        <v>1362</v>
      </c>
      <c r="C550" t="s">
        <v>21</v>
      </c>
      <c r="D550" t="s">
        <v>3</v>
      </c>
      <c r="E550" s="1">
        <v>45082</v>
      </c>
      <c r="F550" t="s">
        <v>11</v>
      </c>
      <c r="G550">
        <v>14816</v>
      </c>
      <c r="H550">
        <v>1546</v>
      </c>
      <c r="I550">
        <v>3.69</v>
      </c>
      <c r="J550">
        <v>31</v>
      </c>
      <c r="Q550">
        <f t="shared" si="538"/>
        <v>452545</v>
      </c>
    </row>
    <row r="551" spans="1:18" hidden="1" x14ac:dyDescent="0.25">
      <c r="A551" t="s">
        <v>1363</v>
      </c>
      <c r="B551" t="s">
        <v>1364</v>
      </c>
      <c r="C551" t="s">
        <v>8</v>
      </c>
      <c r="D551" t="s">
        <v>9</v>
      </c>
      <c r="E551" t="s">
        <v>314</v>
      </c>
      <c r="F551" t="s">
        <v>11</v>
      </c>
      <c r="G551">
        <v>4781</v>
      </c>
      <c r="H551">
        <v>667</v>
      </c>
      <c r="I551">
        <v>3.11</v>
      </c>
      <c r="J551">
        <v>32</v>
      </c>
      <c r="Q551">
        <f t="shared" si="538"/>
        <v>452545</v>
      </c>
    </row>
    <row r="552" spans="1:18" hidden="1" x14ac:dyDescent="0.25">
      <c r="A552" t="s">
        <v>1365</v>
      </c>
      <c r="B552" t="s">
        <v>1366</v>
      </c>
      <c r="C552" t="s">
        <v>2</v>
      </c>
      <c r="D552" t="s">
        <v>3</v>
      </c>
      <c r="E552" t="s">
        <v>1367</v>
      </c>
      <c r="F552" t="s">
        <v>36</v>
      </c>
      <c r="G552">
        <v>9289</v>
      </c>
      <c r="H552">
        <v>4906</v>
      </c>
      <c r="I552">
        <v>2.2599999999999998</v>
      </c>
      <c r="J552">
        <v>105</v>
      </c>
      <c r="Q552">
        <f t="shared" si="538"/>
        <v>447764</v>
      </c>
    </row>
    <row r="553" spans="1:18" x14ac:dyDescent="0.25">
      <c r="A553" t="s">
        <v>1368</v>
      </c>
      <c r="B553" t="s">
        <v>1369</v>
      </c>
      <c r="C553" t="s">
        <v>8</v>
      </c>
      <c r="D553" t="s">
        <v>25</v>
      </c>
      <c r="E553" t="s">
        <v>1370</v>
      </c>
      <c r="F553" t="s">
        <v>5</v>
      </c>
      <c r="G553">
        <v>4151</v>
      </c>
      <c r="H553">
        <v>7945</v>
      </c>
      <c r="I553">
        <v>3.12</v>
      </c>
      <c r="J553">
        <v>45</v>
      </c>
      <c r="K553">
        <f t="shared" ref="K553" ca="1" si="573">IF(F553="Enrolled", TODAY()-E553, "")</f>
        <v>597</v>
      </c>
      <c r="M553">
        <f ca="1">IF(F553="Enrolled",TODAY() - E553,"")</f>
        <v>597</v>
      </c>
      <c r="N553" t="str">
        <f>IF(I555&gt;=3.5,"Excellent",IF(I555&gt;=3,"Good",IF(I555&gt;=2,"Average","Poor")))</f>
        <v>Excellent</v>
      </c>
      <c r="O553" t="e">
        <f>VLOOKUP(D553, $T$18:$U$23, 2, FALSE)</f>
        <v>#N/A</v>
      </c>
      <c r="P553" t="str">
        <f t="shared" ref="P553" si="574">IF(H553 &gt; 0.5 * G553, "YES", "NO")</f>
        <v>YES</v>
      </c>
      <c r="Q553">
        <f t="shared" si="538"/>
        <v>447764</v>
      </c>
      <c r="R553" t="str">
        <f>IF(MONTH(E547)&gt;=6, YEAR(E547) &amp; "-" &amp; YEAR(E547)+1, YEAR(E547)-1 &amp; "-" &amp; YEAR(E547))</f>
        <v>2022-2023</v>
      </c>
    </row>
    <row r="554" spans="1:18" hidden="1" x14ac:dyDescent="0.25">
      <c r="A554" t="s">
        <v>1371</v>
      </c>
      <c r="B554" t="s">
        <v>1372</v>
      </c>
      <c r="C554" t="s">
        <v>17</v>
      </c>
      <c r="D554" t="s">
        <v>9</v>
      </c>
      <c r="E554" s="1">
        <v>45171</v>
      </c>
      <c r="F554" t="s">
        <v>11</v>
      </c>
      <c r="G554">
        <v>13343</v>
      </c>
      <c r="H554">
        <v>4903</v>
      </c>
      <c r="I554">
        <v>2.77</v>
      </c>
      <c r="J554">
        <v>39</v>
      </c>
      <c r="Q554">
        <f t="shared" si="538"/>
        <v>447764</v>
      </c>
    </row>
    <row r="555" spans="1:18" x14ac:dyDescent="0.25">
      <c r="A555" t="s">
        <v>1373</v>
      </c>
      <c r="B555" t="s">
        <v>1374</v>
      </c>
      <c r="C555" t="s">
        <v>17</v>
      </c>
      <c r="D555" t="s">
        <v>25</v>
      </c>
      <c r="E555" s="1">
        <v>45145</v>
      </c>
      <c r="F555" t="s">
        <v>5</v>
      </c>
      <c r="G555">
        <v>2460</v>
      </c>
      <c r="H555">
        <v>4560</v>
      </c>
      <c r="I555">
        <v>3.8</v>
      </c>
      <c r="J555">
        <v>62</v>
      </c>
      <c r="K555">
        <f t="shared" ref="K555" ca="1" si="575">IF(F555="Enrolled", TODAY()-E555, "")</f>
        <v>822</v>
      </c>
      <c r="M555">
        <f ca="1">IF(F555="Enrolled",TODAY() - E555,"")</f>
        <v>822</v>
      </c>
      <c r="N555" t="str">
        <f>IF(I557&gt;=3.5,"Excellent",IF(I557&gt;=3,"Good",IF(I557&gt;=2,"Average","Poor")))</f>
        <v>Average</v>
      </c>
      <c r="O555" t="e">
        <f>VLOOKUP(D555, $T$18:$U$23, 2, FALSE)</f>
        <v>#N/A</v>
      </c>
      <c r="P555" t="str">
        <f t="shared" ref="P555" si="576">IF(H555 &gt; 0.5 * G555, "YES", "NO")</f>
        <v>YES</v>
      </c>
      <c r="Q555">
        <f t="shared" si="538"/>
        <v>434421</v>
      </c>
      <c r="R555" t="str">
        <f>IF(MONTH(E549)&gt;=6, YEAR(E549) &amp; "-" &amp; YEAR(E549)+1, YEAR(E549)-1 &amp; "-" &amp; YEAR(E549))</f>
        <v>2021-2022</v>
      </c>
    </row>
    <row r="556" spans="1:18" hidden="1" x14ac:dyDescent="0.25">
      <c r="A556" t="s">
        <v>1375</v>
      </c>
      <c r="B556" t="s">
        <v>1376</v>
      </c>
      <c r="C556" t="s">
        <v>21</v>
      </c>
      <c r="D556" t="s">
        <v>3</v>
      </c>
      <c r="E556" s="1">
        <v>45056</v>
      </c>
      <c r="F556" t="s">
        <v>11</v>
      </c>
      <c r="G556">
        <v>10553</v>
      </c>
      <c r="H556">
        <v>3008</v>
      </c>
      <c r="I556">
        <v>2.37</v>
      </c>
      <c r="J556">
        <v>3</v>
      </c>
      <c r="Q556">
        <f t="shared" si="538"/>
        <v>434421</v>
      </c>
    </row>
    <row r="557" spans="1:18" hidden="1" x14ac:dyDescent="0.25">
      <c r="A557" t="s">
        <v>1377</v>
      </c>
      <c r="B557" t="s">
        <v>1378</v>
      </c>
      <c r="C557" t="s">
        <v>21</v>
      </c>
      <c r="D557" t="s">
        <v>25</v>
      </c>
      <c r="E557" t="s">
        <v>701</v>
      </c>
      <c r="F557" t="s">
        <v>11</v>
      </c>
      <c r="G557">
        <v>5975</v>
      </c>
      <c r="H557">
        <v>3830</v>
      </c>
      <c r="I557">
        <v>2.06</v>
      </c>
      <c r="J557">
        <v>96</v>
      </c>
      <c r="Q557">
        <f t="shared" si="538"/>
        <v>434421</v>
      </c>
    </row>
    <row r="558" spans="1:18" x14ac:dyDescent="0.25">
      <c r="A558" t="s">
        <v>1379</v>
      </c>
      <c r="B558" t="s">
        <v>1380</v>
      </c>
      <c r="C558" t="s">
        <v>21</v>
      </c>
      <c r="D558" t="s">
        <v>3</v>
      </c>
      <c r="E558" s="1">
        <v>45570</v>
      </c>
      <c r="F558" t="s">
        <v>5</v>
      </c>
      <c r="G558">
        <v>9200</v>
      </c>
      <c r="H558">
        <v>1956</v>
      </c>
      <c r="I558">
        <v>2.95</v>
      </c>
      <c r="J558">
        <v>97</v>
      </c>
      <c r="K558">
        <f t="shared" ref="K558" ca="1" si="577">IF(F558="Enrolled", TODAY()-E558, "")</f>
        <v>397</v>
      </c>
      <c r="M558">
        <f ca="1">IF(F558="Enrolled",TODAY() - E558,"")</f>
        <v>397</v>
      </c>
      <c r="N558" t="str">
        <f>IF(I560&gt;=3.5,"Excellent",IF(I560&gt;=3,"Good",IF(I560&gt;=2,"Average","Poor")))</f>
        <v>Average</v>
      </c>
      <c r="O558" t="e">
        <f>VLOOKUP(D558, $T$18:$U$23, 2, FALSE)</f>
        <v>#N/A</v>
      </c>
      <c r="P558" t="str">
        <f t="shared" ref="P558" si="578">IF(H558 &gt; 0.5 * G558, "YES", "NO")</f>
        <v>NO</v>
      </c>
      <c r="Q558">
        <f t="shared" si="538"/>
        <v>434421</v>
      </c>
      <c r="R558" t="str">
        <f>IF(MONTH(E552)&gt;=6, YEAR(E552) &amp; "-" &amp; YEAR(E552)+1, YEAR(E552)-1 &amp; "-" &amp; YEAR(E552))</f>
        <v>2023-2024</v>
      </c>
    </row>
    <row r="559" spans="1:18" hidden="1" x14ac:dyDescent="0.25">
      <c r="A559" t="s">
        <v>1381</v>
      </c>
      <c r="B559" t="s">
        <v>1382</v>
      </c>
      <c r="C559" t="s">
        <v>2</v>
      </c>
      <c r="D559" t="s">
        <v>3</v>
      </c>
      <c r="E559" t="s">
        <v>1383</v>
      </c>
      <c r="F559" t="s">
        <v>11</v>
      </c>
      <c r="G559">
        <v>7875</v>
      </c>
      <c r="H559">
        <v>6378</v>
      </c>
      <c r="I559">
        <v>2.09</v>
      </c>
      <c r="J559">
        <v>90</v>
      </c>
      <c r="Q559">
        <f t="shared" si="538"/>
        <v>434421</v>
      </c>
    </row>
    <row r="560" spans="1:18" x14ac:dyDescent="0.25">
      <c r="A560" t="s">
        <v>1384</v>
      </c>
      <c r="B560" t="s">
        <v>1385</v>
      </c>
      <c r="C560" t="s">
        <v>55</v>
      </c>
      <c r="D560" t="s">
        <v>65</v>
      </c>
      <c r="E560" t="s">
        <v>649</v>
      </c>
      <c r="F560" t="s">
        <v>5</v>
      </c>
      <c r="G560">
        <v>9704</v>
      </c>
      <c r="H560">
        <v>8153</v>
      </c>
      <c r="I560">
        <v>2.33</v>
      </c>
      <c r="J560">
        <v>101</v>
      </c>
      <c r="K560">
        <f t="shared" ref="K560:K561" ca="1" si="579">IF(F560="Enrolled", TODAY()-E560, "")</f>
        <v>1242</v>
      </c>
      <c r="M560">
        <f t="shared" ref="M560:M561" ca="1" si="580">IF(F560="Enrolled",TODAY() - E560,"")</f>
        <v>1242</v>
      </c>
      <c r="N560" t="str">
        <f t="shared" ref="N560:N561" si="581">IF(I562&gt;=3.5,"Excellent",IF(I562&gt;=3,"Good",IF(I562&gt;=2,"Average","Poor")))</f>
        <v>Average</v>
      </c>
      <c r="O560" t="e">
        <f t="shared" ref="O560:O561" si="582">VLOOKUP(D560, $T$18:$U$23, 2, FALSE)</f>
        <v>#N/A</v>
      </c>
      <c r="P560" t="str">
        <f t="shared" ref="P560:P561" si="583">IF(H560 &gt; 0.5 * G560, "YES", "NO")</f>
        <v>YES</v>
      </c>
      <c r="Q560">
        <f t="shared" si="538"/>
        <v>434421</v>
      </c>
      <c r="R560" t="str">
        <f t="shared" ref="R560:R561" si="584">IF(MONTH(E554)&gt;=6, YEAR(E554) &amp; "-" &amp; YEAR(E554)+1, YEAR(E554)-1 &amp; "-" &amp; YEAR(E554))</f>
        <v>2023-2024</v>
      </c>
    </row>
    <row r="561" spans="1:18" x14ac:dyDescent="0.25">
      <c r="A561" t="s">
        <v>1386</v>
      </c>
      <c r="B561" t="s">
        <v>1387</v>
      </c>
      <c r="C561" t="s">
        <v>58</v>
      </c>
      <c r="D561" t="s">
        <v>25</v>
      </c>
      <c r="E561" t="s">
        <v>198</v>
      </c>
      <c r="F561" t="s">
        <v>5</v>
      </c>
      <c r="G561">
        <v>13578</v>
      </c>
      <c r="H561">
        <v>8755</v>
      </c>
      <c r="I561">
        <v>3.16</v>
      </c>
      <c r="J561">
        <v>33</v>
      </c>
      <c r="K561">
        <f t="shared" ca="1" si="579"/>
        <v>1109</v>
      </c>
      <c r="M561">
        <f t="shared" ca="1" si="580"/>
        <v>1109</v>
      </c>
      <c r="N561" t="str">
        <f t="shared" si="581"/>
        <v>Average</v>
      </c>
      <c r="O561" t="e">
        <f t="shared" si="582"/>
        <v>#N/A</v>
      </c>
      <c r="P561" t="str">
        <f t="shared" si="583"/>
        <v>YES</v>
      </c>
      <c r="Q561">
        <f t="shared" si="538"/>
        <v>434421</v>
      </c>
      <c r="R561" t="str">
        <f t="shared" si="584"/>
        <v>2023-2024</v>
      </c>
    </row>
    <row r="562" spans="1:18" hidden="1" x14ac:dyDescent="0.25">
      <c r="A562" t="s">
        <v>1388</v>
      </c>
      <c r="B562" t="s">
        <v>1389</v>
      </c>
      <c r="C562" t="s">
        <v>55</v>
      </c>
      <c r="D562" t="s">
        <v>3</v>
      </c>
      <c r="E562" s="1">
        <v>44841</v>
      </c>
      <c r="F562" t="s">
        <v>36</v>
      </c>
      <c r="G562">
        <v>3192</v>
      </c>
      <c r="H562">
        <v>633</v>
      </c>
      <c r="I562">
        <v>2.71</v>
      </c>
      <c r="J562">
        <v>86</v>
      </c>
      <c r="Q562">
        <f t="shared" si="538"/>
        <v>434421</v>
      </c>
    </row>
    <row r="563" spans="1:18" x14ac:dyDescent="0.25">
      <c r="A563" t="s">
        <v>1390</v>
      </c>
      <c r="B563" t="s">
        <v>1391</v>
      </c>
      <c r="C563" t="s">
        <v>8</v>
      </c>
      <c r="D563" t="s">
        <v>9</v>
      </c>
      <c r="E563" t="s">
        <v>134</v>
      </c>
      <c r="F563" t="s">
        <v>5</v>
      </c>
      <c r="G563">
        <v>7449</v>
      </c>
      <c r="H563">
        <v>1118</v>
      </c>
      <c r="I563">
        <v>2.88</v>
      </c>
      <c r="J563">
        <v>77</v>
      </c>
      <c r="K563">
        <f t="shared" ref="K563:K564" ca="1" si="585">IF(F563="Enrolled", TODAY()-E563, "")</f>
        <v>807</v>
      </c>
      <c r="M563">
        <f t="shared" ref="M563:M564" ca="1" si="586">IF(F563="Enrolled",TODAY() - E563,"")</f>
        <v>807</v>
      </c>
      <c r="N563" t="str">
        <f t="shared" ref="N563:N564" si="587">IF(I565&gt;=3.5,"Excellent",IF(I565&gt;=3,"Good",IF(I565&gt;=2,"Average","Poor")))</f>
        <v>Good</v>
      </c>
      <c r="O563" t="e">
        <f t="shared" ref="O563:O564" si="588">VLOOKUP(D563, $T$18:$U$23, 2, FALSE)</f>
        <v>#N/A</v>
      </c>
      <c r="P563" t="str">
        <f t="shared" ref="P563:P564" si="589">IF(H563 &gt; 0.5 * G563, "YES", "NO")</f>
        <v>NO</v>
      </c>
      <c r="Q563">
        <f t="shared" si="538"/>
        <v>434421</v>
      </c>
      <c r="R563" t="str">
        <f t="shared" ref="R563:R564" si="590">IF(MONTH(E557)&gt;=6, YEAR(E557) &amp; "-" &amp; YEAR(E557)+1, YEAR(E557)-1 &amp; "-" &amp; YEAR(E557))</f>
        <v>2022-2023</v>
      </c>
    </row>
    <row r="564" spans="1:18" x14ac:dyDescent="0.25">
      <c r="A564" t="s">
        <v>1392</v>
      </c>
      <c r="B564" t="s">
        <v>1393</v>
      </c>
      <c r="C564" t="s">
        <v>32</v>
      </c>
      <c r="D564" t="s">
        <v>25</v>
      </c>
      <c r="E564" s="1">
        <v>45089</v>
      </c>
      <c r="F564" t="s">
        <v>5</v>
      </c>
      <c r="G564">
        <v>2638</v>
      </c>
      <c r="H564">
        <v>4498</v>
      </c>
      <c r="I564">
        <v>3</v>
      </c>
      <c r="J564">
        <v>20</v>
      </c>
      <c r="K564">
        <f t="shared" ca="1" si="585"/>
        <v>878</v>
      </c>
      <c r="M564">
        <f t="shared" ca="1" si="586"/>
        <v>878</v>
      </c>
      <c r="N564" t="str">
        <f t="shared" si="587"/>
        <v>Good</v>
      </c>
      <c r="O564" t="e">
        <f t="shared" si="588"/>
        <v>#N/A</v>
      </c>
      <c r="P564" t="str">
        <f t="shared" si="589"/>
        <v>YES</v>
      </c>
      <c r="Q564">
        <f t="shared" si="538"/>
        <v>434421</v>
      </c>
      <c r="R564" t="str">
        <f t="shared" si="590"/>
        <v>2024-2025</v>
      </c>
    </row>
    <row r="565" spans="1:18" hidden="1" x14ac:dyDescent="0.25">
      <c r="A565" t="s">
        <v>1394</v>
      </c>
      <c r="B565" t="s">
        <v>1395</v>
      </c>
      <c r="C565" t="s">
        <v>17</v>
      </c>
      <c r="D565" t="s">
        <v>65</v>
      </c>
      <c r="E565" s="1">
        <v>44841</v>
      </c>
      <c r="F565" t="s">
        <v>11</v>
      </c>
      <c r="G565">
        <v>4665</v>
      </c>
      <c r="H565">
        <v>4520</v>
      </c>
      <c r="I565">
        <v>3.43</v>
      </c>
      <c r="J565">
        <v>81</v>
      </c>
      <c r="Q565">
        <f t="shared" si="538"/>
        <v>434421</v>
      </c>
    </row>
    <row r="566" spans="1:18" hidden="1" x14ac:dyDescent="0.25">
      <c r="A566" t="s">
        <v>1396</v>
      </c>
      <c r="B566" t="s">
        <v>1397</v>
      </c>
      <c r="C566" t="s">
        <v>2</v>
      </c>
      <c r="D566" t="s">
        <v>25</v>
      </c>
      <c r="E566" t="s">
        <v>614</v>
      </c>
      <c r="F566" t="s">
        <v>36</v>
      </c>
      <c r="G566">
        <v>6305</v>
      </c>
      <c r="H566">
        <v>7832</v>
      </c>
      <c r="I566">
        <v>3.16</v>
      </c>
      <c r="J566">
        <v>104</v>
      </c>
      <c r="Q566">
        <f t="shared" si="538"/>
        <v>434421</v>
      </c>
    </row>
    <row r="567" spans="1:18" x14ac:dyDescent="0.25">
      <c r="A567" t="s">
        <v>1398</v>
      </c>
      <c r="B567" t="s">
        <v>1399</v>
      </c>
      <c r="C567" t="s">
        <v>2</v>
      </c>
      <c r="D567" t="s">
        <v>3</v>
      </c>
      <c r="E567" t="s">
        <v>1400</v>
      </c>
      <c r="F567" t="s">
        <v>5</v>
      </c>
      <c r="G567">
        <v>5186</v>
      </c>
      <c r="H567">
        <v>2277</v>
      </c>
      <c r="I567">
        <v>2.34</v>
      </c>
      <c r="J567">
        <v>3</v>
      </c>
      <c r="K567">
        <f t="shared" ref="K567" ca="1" si="591">IF(F567="Enrolled", TODAY()-E567, "")</f>
        <v>1048</v>
      </c>
      <c r="M567">
        <f ca="1">IF(F567="Enrolled",TODAY() - E567,"")</f>
        <v>1048</v>
      </c>
      <c r="N567" t="str">
        <f>IF(I569&gt;=3.5,"Excellent",IF(I569&gt;=3,"Good",IF(I569&gt;=2,"Average","Poor")))</f>
        <v>Excellent</v>
      </c>
      <c r="O567" t="e">
        <f>VLOOKUP(D567, $T$18:$U$23, 2, FALSE)</f>
        <v>#N/A</v>
      </c>
      <c r="P567" t="str">
        <f t="shared" ref="P567" si="592">IF(H567 &gt; 0.5 * G567, "YES", "NO")</f>
        <v>NO</v>
      </c>
      <c r="Q567">
        <f t="shared" si="538"/>
        <v>434421</v>
      </c>
      <c r="R567" t="str">
        <f>IF(MONTH(E561)&gt;=6, YEAR(E561) &amp; "-" &amp; YEAR(E561)+1, YEAR(E561)-1 &amp; "-" &amp; YEAR(E561))</f>
        <v>2022-2023</v>
      </c>
    </row>
    <row r="568" spans="1:18" hidden="1" x14ac:dyDescent="0.25">
      <c r="A568" t="s">
        <v>1401</v>
      </c>
      <c r="B568" t="s">
        <v>1402</v>
      </c>
      <c r="C568" t="s">
        <v>17</v>
      </c>
      <c r="D568" t="s">
        <v>65</v>
      </c>
      <c r="E568" t="s">
        <v>68</v>
      </c>
      <c r="F568" t="s">
        <v>36</v>
      </c>
      <c r="G568">
        <v>11323</v>
      </c>
      <c r="H568">
        <v>9086</v>
      </c>
      <c r="I568">
        <v>3.11</v>
      </c>
      <c r="J568">
        <v>89</v>
      </c>
      <c r="Q568">
        <f t="shared" si="538"/>
        <v>434421</v>
      </c>
    </row>
    <row r="569" spans="1:18" x14ac:dyDescent="0.25">
      <c r="A569" t="s">
        <v>1403</v>
      </c>
      <c r="B569" t="s">
        <v>1404</v>
      </c>
      <c r="C569" t="s">
        <v>55</v>
      </c>
      <c r="D569" t="s">
        <v>65</v>
      </c>
      <c r="E569" t="s">
        <v>1405</v>
      </c>
      <c r="F569" t="s">
        <v>5</v>
      </c>
      <c r="G569">
        <v>6456</v>
      </c>
      <c r="H569">
        <v>5205</v>
      </c>
      <c r="I569">
        <v>3.71</v>
      </c>
      <c r="J569">
        <v>15</v>
      </c>
      <c r="K569">
        <f t="shared" ref="K569" ca="1" si="593">IF(F569="Enrolled", TODAY()-E569, "")</f>
        <v>1212</v>
      </c>
      <c r="M569">
        <f ca="1">IF(F569="Enrolled",TODAY() - E569,"")</f>
        <v>1212</v>
      </c>
      <c r="N569" t="str">
        <f>IF(I571&gt;=3.5,"Excellent",IF(I571&gt;=3,"Good",IF(I571&gt;=2,"Average","Poor")))</f>
        <v>Average</v>
      </c>
      <c r="O569" t="e">
        <f>VLOOKUP(D569, $T$18:$U$23, 2, FALSE)</f>
        <v>#N/A</v>
      </c>
      <c r="P569" t="str">
        <f t="shared" ref="P569" si="594">IF(H569 &gt; 0.5 * G569, "YES", "NO")</f>
        <v>YES</v>
      </c>
      <c r="Q569">
        <f t="shared" si="538"/>
        <v>434421</v>
      </c>
      <c r="R569" t="str">
        <f>IF(MONTH(E563)&gt;=6, YEAR(E563) &amp; "-" &amp; YEAR(E563)+1, YEAR(E563)-1 &amp; "-" &amp; YEAR(E563))</f>
        <v>2023-2024</v>
      </c>
    </row>
    <row r="570" spans="1:18" hidden="1" x14ac:dyDescent="0.25">
      <c r="A570" t="s">
        <v>1406</v>
      </c>
      <c r="B570" t="s">
        <v>1407</v>
      </c>
      <c r="C570" t="s">
        <v>17</v>
      </c>
      <c r="D570" t="s">
        <v>65</v>
      </c>
      <c r="E570" t="s">
        <v>227</v>
      </c>
      <c r="F570" t="s">
        <v>11</v>
      </c>
      <c r="G570">
        <v>3925</v>
      </c>
      <c r="H570">
        <v>5671</v>
      </c>
      <c r="I570">
        <v>2.15</v>
      </c>
      <c r="J570">
        <v>95</v>
      </c>
      <c r="Q570">
        <f t="shared" si="538"/>
        <v>434421</v>
      </c>
    </row>
    <row r="571" spans="1:18" x14ac:dyDescent="0.25">
      <c r="A571" t="s">
        <v>1408</v>
      </c>
      <c r="B571" t="s">
        <v>1409</v>
      </c>
      <c r="C571" t="s">
        <v>14</v>
      </c>
      <c r="D571" t="s">
        <v>25</v>
      </c>
      <c r="E571" s="1">
        <v>45026</v>
      </c>
      <c r="F571" t="s">
        <v>5</v>
      </c>
      <c r="G571">
        <v>11329</v>
      </c>
      <c r="H571">
        <v>5904</v>
      </c>
      <c r="I571">
        <v>2.35</v>
      </c>
      <c r="J571">
        <v>35</v>
      </c>
      <c r="K571">
        <f t="shared" ref="K571:K572" ca="1" si="595">IF(F571="Enrolled", TODAY()-E571, "")</f>
        <v>941</v>
      </c>
      <c r="M571">
        <f t="shared" ref="M571:M572" ca="1" si="596">IF(F571="Enrolled",TODAY() - E571,"")</f>
        <v>941</v>
      </c>
      <c r="N571" t="str">
        <f t="shared" ref="N571:N572" si="597">IF(I573&gt;=3.5,"Excellent",IF(I573&gt;=3,"Good",IF(I573&gt;=2,"Average","Poor")))</f>
        <v>Excellent</v>
      </c>
      <c r="O571" t="e">
        <f t="shared" ref="O571:O572" si="598">VLOOKUP(D571, $T$18:$U$23, 2, FALSE)</f>
        <v>#N/A</v>
      </c>
      <c r="P571" t="str">
        <f t="shared" ref="P571:P572" si="599">IF(H571 &gt; 0.5 * G571, "YES", "NO")</f>
        <v>YES</v>
      </c>
      <c r="Q571">
        <f t="shared" si="538"/>
        <v>434421</v>
      </c>
      <c r="R571" t="str">
        <f t="shared" ref="R571:R572" si="600">IF(MONTH(E565)&gt;=6, YEAR(E565) &amp; "-" &amp; YEAR(E565)+1, YEAR(E565)-1 &amp; "-" &amp; YEAR(E565))</f>
        <v>2022-2023</v>
      </c>
    </row>
    <row r="572" spans="1:18" x14ac:dyDescent="0.25">
      <c r="A572" t="s">
        <v>1410</v>
      </c>
      <c r="B572" t="s">
        <v>1411</v>
      </c>
      <c r="C572" t="s">
        <v>55</v>
      </c>
      <c r="D572" t="s">
        <v>65</v>
      </c>
      <c r="E572" t="s">
        <v>378</v>
      </c>
      <c r="F572" t="s">
        <v>5</v>
      </c>
      <c r="G572">
        <v>5357</v>
      </c>
      <c r="H572">
        <v>1523</v>
      </c>
      <c r="I572">
        <v>3.96</v>
      </c>
      <c r="J572">
        <v>23</v>
      </c>
      <c r="K572">
        <f t="shared" ca="1" si="595"/>
        <v>599</v>
      </c>
      <c r="M572">
        <f t="shared" ca="1" si="596"/>
        <v>599</v>
      </c>
      <c r="N572" t="str">
        <f t="shared" si="597"/>
        <v>Excellent</v>
      </c>
      <c r="O572" t="e">
        <f t="shared" si="598"/>
        <v>#N/A</v>
      </c>
      <c r="P572" t="str">
        <f t="shared" si="599"/>
        <v>NO</v>
      </c>
      <c r="Q572">
        <f t="shared" si="538"/>
        <v>434421</v>
      </c>
      <c r="R572" t="str">
        <f t="shared" si="600"/>
        <v>2023-2024</v>
      </c>
    </row>
    <row r="573" spans="1:18" hidden="1" x14ac:dyDescent="0.25">
      <c r="A573" t="s">
        <v>1412</v>
      </c>
      <c r="B573" t="s">
        <v>1413</v>
      </c>
      <c r="C573" t="s">
        <v>14</v>
      </c>
      <c r="D573" t="s">
        <v>3</v>
      </c>
      <c r="E573" s="1">
        <v>45236</v>
      </c>
      <c r="F573" t="s">
        <v>11</v>
      </c>
      <c r="G573">
        <v>10853</v>
      </c>
      <c r="H573">
        <v>5377</v>
      </c>
      <c r="I573">
        <v>3.52</v>
      </c>
      <c r="J573">
        <v>12</v>
      </c>
      <c r="Q573">
        <f t="shared" si="538"/>
        <v>434421</v>
      </c>
    </row>
    <row r="574" spans="1:18" hidden="1" x14ac:dyDescent="0.25">
      <c r="A574" t="s">
        <v>1414</v>
      </c>
      <c r="B574" t="s">
        <v>1415</v>
      </c>
      <c r="C574" t="s">
        <v>8</v>
      </c>
      <c r="D574" t="s">
        <v>3</v>
      </c>
      <c r="E574" s="1">
        <v>45599</v>
      </c>
      <c r="F574" t="s">
        <v>11</v>
      </c>
      <c r="G574">
        <v>3136</v>
      </c>
      <c r="H574">
        <v>1799</v>
      </c>
      <c r="I574">
        <v>3.99</v>
      </c>
      <c r="J574">
        <v>94</v>
      </c>
      <c r="Q574">
        <f t="shared" si="538"/>
        <v>434421</v>
      </c>
    </row>
    <row r="575" spans="1:18" x14ac:dyDescent="0.25">
      <c r="A575" t="s">
        <v>1416</v>
      </c>
      <c r="B575" t="s">
        <v>1417</v>
      </c>
      <c r="C575" t="s">
        <v>14</v>
      </c>
      <c r="D575" t="s">
        <v>3</v>
      </c>
      <c r="E575" s="1">
        <v>45293</v>
      </c>
      <c r="F575" t="s">
        <v>5</v>
      </c>
      <c r="G575">
        <v>12521</v>
      </c>
      <c r="H575">
        <v>6705</v>
      </c>
      <c r="I575">
        <v>2.34</v>
      </c>
      <c r="J575">
        <v>105</v>
      </c>
      <c r="K575">
        <f t="shared" ref="K575:K577" ca="1" si="601">IF(F575="Enrolled", TODAY()-E575, "")</f>
        <v>674</v>
      </c>
      <c r="M575">
        <f t="shared" ref="M575:M577" ca="1" si="602">IF(F575="Enrolled",TODAY() - E575,"")</f>
        <v>674</v>
      </c>
      <c r="N575" t="str">
        <f t="shared" ref="N575:N577" si="603">IF(I577&gt;=3.5,"Excellent",IF(I577&gt;=3,"Good",IF(I577&gt;=2,"Average","Poor")))</f>
        <v>Average</v>
      </c>
      <c r="O575" t="e">
        <f t="shared" ref="O575:O577" si="604">VLOOKUP(D575, $T$18:$U$23, 2, FALSE)</f>
        <v>#N/A</v>
      </c>
      <c r="P575" t="str">
        <f t="shared" ref="P575:P577" si="605">IF(H575 &gt; 0.5 * G575, "YES", "NO")</f>
        <v>YES</v>
      </c>
      <c r="Q575">
        <f t="shared" si="538"/>
        <v>434421</v>
      </c>
      <c r="R575" t="str">
        <f t="shared" ref="R575:R577" si="606">IF(MONTH(E569)&gt;=6, YEAR(E569) &amp; "-" &amp; YEAR(E569)+1, YEAR(E569)-1 &amp; "-" &amp; YEAR(E569))</f>
        <v>2022-2023</v>
      </c>
    </row>
    <row r="576" spans="1:18" x14ac:dyDescent="0.25">
      <c r="A576" t="s">
        <v>1418</v>
      </c>
      <c r="B576" t="s">
        <v>1419</v>
      </c>
      <c r="C576" t="s">
        <v>14</v>
      </c>
      <c r="D576" t="s">
        <v>9</v>
      </c>
      <c r="E576" s="1">
        <v>44932</v>
      </c>
      <c r="F576" t="s">
        <v>5</v>
      </c>
      <c r="G576">
        <v>8123</v>
      </c>
      <c r="H576">
        <v>7824</v>
      </c>
      <c r="I576">
        <v>2.29</v>
      </c>
      <c r="J576">
        <v>5</v>
      </c>
      <c r="K576">
        <f t="shared" ca="1" si="601"/>
        <v>1035</v>
      </c>
      <c r="M576">
        <f t="shared" ca="1" si="602"/>
        <v>1035</v>
      </c>
      <c r="N576" t="str">
        <f t="shared" si="603"/>
        <v>Average</v>
      </c>
      <c r="O576" t="e">
        <f t="shared" si="604"/>
        <v>#N/A</v>
      </c>
      <c r="P576" t="str">
        <f t="shared" si="605"/>
        <v>YES</v>
      </c>
      <c r="Q576">
        <f t="shared" si="538"/>
        <v>434421</v>
      </c>
      <c r="R576" t="str">
        <f t="shared" si="606"/>
        <v>2022-2023</v>
      </c>
    </row>
    <row r="577" spans="1:18" x14ac:dyDescent="0.25">
      <c r="A577" t="s">
        <v>1420</v>
      </c>
      <c r="B577" t="s">
        <v>1421</v>
      </c>
      <c r="C577" t="s">
        <v>21</v>
      </c>
      <c r="D577" t="s">
        <v>65</v>
      </c>
      <c r="E577" t="s">
        <v>1422</v>
      </c>
      <c r="F577" t="s">
        <v>5</v>
      </c>
      <c r="G577">
        <v>11134</v>
      </c>
      <c r="H577">
        <v>8004</v>
      </c>
      <c r="I577">
        <v>2.4500000000000002</v>
      </c>
      <c r="J577">
        <v>67</v>
      </c>
      <c r="K577">
        <f t="shared" ca="1" si="601"/>
        <v>960</v>
      </c>
      <c r="M577">
        <f t="shared" ca="1" si="602"/>
        <v>960</v>
      </c>
      <c r="N577" t="str">
        <f t="shared" si="603"/>
        <v>Excellent</v>
      </c>
      <c r="O577" t="e">
        <f t="shared" si="604"/>
        <v>#N/A</v>
      </c>
      <c r="P577" t="str">
        <f t="shared" si="605"/>
        <v>YES</v>
      </c>
      <c r="Q577">
        <f t="shared" si="538"/>
        <v>434421</v>
      </c>
      <c r="R577" t="str">
        <f t="shared" si="606"/>
        <v>2022-2023</v>
      </c>
    </row>
    <row r="578" spans="1:18" hidden="1" x14ac:dyDescent="0.25">
      <c r="A578" t="s">
        <v>1423</v>
      </c>
      <c r="B578" t="s">
        <v>1424</v>
      </c>
      <c r="C578" t="s">
        <v>32</v>
      </c>
      <c r="D578" t="s">
        <v>65</v>
      </c>
      <c r="E578" s="1">
        <v>45445</v>
      </c>
      <c r="F578" t="s">
        <v>11</v>
      </c>
      <c r="G578">
        <v>5281</v>
      </c>
      <c r="H578">
        <v>602</v>
      </c>
      <c r="I578">
        <v>2.7</v>
      </c>
      <c r="J578">
        <v>20</v>
      </c>
      <c r="Q578">
        <f t="shared" si="538"/>
        <v>434421</v>
      </c>
    </row>
    <row r="579" spans="1:18" x14ac:dyDescent="0.25">
      <c r="A579" t="s">
        <v>1425</v>
      </c>
      <c r="B579" t="s">
        <v>1426</v>
      </c>
      <c r="C579" t="s">
        <v>17</v>
      </c>
      <c r="D579" t="s">
        <v>9</v>
      </c>
      <c r="E579" s="1">
        <v>45051</v>
      </c>
      <c r="F579" t="s">
        <v>5</v>
      </c>
      <c r="G579">
        <v>6006</v>
      </c>
      <c r="H579">
        <v>3641</v>
      </c>
      <c r="I579">
        <v>3.61</v>
      </c>
      <c r="J579">
        <v>28</v>
      </c>
      <c r="K579">
        <f t="shared" ref="K579:K582" ca="1" si="607">IF(F579="Enrolled", TODAY()-E579, "")</f>
        <v>916</v>
      </c>
      <c r="M579">
        <f t="shared" ref="M579:M582" ca="1" si="608">IF(F579="Enrolled",TODAY() - E579,"")</f>
        <v>916</v>
      </c>
      <c r="N579" t="str">
        <f t="shared" ref="N579:N582" si="609">IF(I581&gt;=3.5,"Excellent",IF(I581&gt;=3,"Good",IF(I581&gt;=2,"Average","Poor")))</f>
        <v>Excellent</v>
      </c>
      <c r="O579" t="e">
        <f t="shared" ref="O579:O582" si="610">VLOOKUP(D579, $T$18:$U$23, 2, FALSE)</f>
        <v>#N/A</v>
      </c>
      <c r="P579" t="str">
        <f t="shared" ref="P579:P582" si="611">IF(H579 &gt; 0.5 * G579, "YES", "NO")</f>
        <v>YES</v>
      </c>
      <c r="Q579">
        <f t="shared" si="538"/>
        <v>434421</v>
      </c>
      <c r="R579" t="str">
        <f t="shared" ref="R579:R582" si="612">IF(MONTH(E573)&gt;=6, YEAR(E573) &amp; "-" &amp; YEAR(E573)+1, YEAR(E573)-1 &amp; "-" &amp; YEAR(E573))</f>
        <v>2023-2024</v>
      </c>
    </row>
    <row r="580" spans="1:18" x14ac:dyDescent="0.25">
      <c r="A580" t="s">
        <v>1427</v>
      </c>
      <c r="B580" t="s">
        <v>1428</v>
      </c>
      <c r="C580" t="s">
        <v>21</v>
      </c>
      <c r="D580" t="s">
        <v>65</v>
      </c>
      <c r="E580" s="1">
        <v>45598</v>
      </c>
      <c r="F580" t="s">
        <v>5</v>
      </c>
      <c r="G580">
        <v>12212</v>
      </c>
      <c r="H580">
        <v>8831</v>
      </c>
      <c r="I580">
        <v>2.0499999999999998</v>
      </c>
      <c r="J580">
        <v>69</v>
      </c>
      <c r="K580">
        <f t="shared" ca="1" si="607"/>
        <v>369</v>
      </c>
      <c r="M580">
        <f t="shared" ca="1" si="608"/>
        <v>369</v>
      </c>
      <c r="N580" t="str">
        <f t="shared" si="609"/>
        <v>Average</v>
      </c>
      <c r="O580" t="e">
        <f t="shared" si="610"/>
        <v>#N/A</v>
      </c>
      <c r="P580" t="str">
        <f t="shared" si="611"/>
        <v>YES</v>
      </c>
      <c r="Q580">
        <f t="shared" si="538"/>
        <v>434421</v>
      </c>
      <c r="R580" t="str">
        <f t="shared" si="612"/>
        <v>2024-2025</v>
      </c>
    </row>
    <row r="581" spans="1:18" x14ac:dyDescent="0.25">
      <c r="A581" t="s">
        <v>1429</v>
      </c>
      <c r="B581" t="s">
        <v>1430</v>
      </c>
      <c r="C581" t="s">
        <v>21</v>
      </c>
      <c r="D581" t="s">
        <v>65</v>
      </c>
      <c r="E581" t="s">
        <v>1431</v>
      </c>
      <c r="F581" t="s">
        <v>5</v>
      </c>
      <c r="G581">
        <v>6847</v>
      </c>
      <c r="H581">
        <v>6140</v>
      </c>
      <c r="I581">
        <v>3.94</v>
      </c>
      <c r="J581">
        <v>49</v>
      </c>
      <c r="K581">
        <f t="shared" ca="1" si="607"/>
        <v>587</v>
      </c>
      <c r="M581">
        <f t="shared" ca="1" si="608"/>
        <v>587</v>
      </c>
      <c r="N581" t="str">
        <f t="shared" si="609"/>
        <v>Good</v>
      </c>
      <c r="O581" t="e">
        <f t="shared" si="610"/>
        <v>#N/A</v>
      </c>
      <c r="P581" t="str">
        <f t="shared" si="611"/>
        <v>YES</v>
      </c>
      <c r="Q581">
        <f t="shared" si="538"/>
        <v>434421</v>
      </c>
      <c r="R581" t="str">
        <f t="shared" si="612"/>
        <v>2023-2024</v>
      </c>
    </row>
    <row r="582" spans="1:18" x14ac:dyDescent="0.25">
      <c r="A582" t="s">
        <v>1432</v>
      </c>
      <c r="B582" t="s">
        <v>1433</v>
      </c>
      <c r="C582" t="s">
        <v>2</v>
      </c>
      <c r="D582" t="s">
        <v>3</v>
      </c>
      <c r="E582" s="1">
        <v>45150</v>
      </c>
      <c r="F582" t="s">
        <v>5</v>
      </c>
      <c r="G582">
        <v>6408</v>
      </c>
      <c r="H582">
        <v>6290</v>
      </c>
      <c r="I582">
        <v>2.67</v>
      </c>
      <c r="J582">
        <v>110</v>
      </c>
      <c r="K582">
        <f t="shared" ca="1" si="607"/>
        <v>817</v>
      </c>
      <c r="M582">
        <f t="shared" ca="1" si="608"/>
        <v>817</v>
      </c>
      <c r="N582" t="str">
        <f t="shared" si="609"/>
        <v>Good</v>
      </c>
      <c r="O582" t="e">
        <f t="shared" si="610"/>
        <v>#N/A</v>
      </c>
      <c r="P582" t="str">
        <f t="shared" si="611"/>
        <v>YES</v>
      </c>
      <c r="Q582">
        <f t="shared" si="538"/>
        <v>434421</v>
      </c>
      <c r="R582" t="str">
        <f t="shared" si="612"/>
        <v>2022-2023</v>
      </c>
    </row>
    <row r="583" spans="1:18" hidden="1" x14ac:dyDescent="0.25">
      <c r="A583" t="s">
        <v>1434</v>
      </c>
      <c r="B583" t="s">
        <v>1435</v>
      </c>
      <c r="C583" t="s">
        <v>2</v>
      </c>
      <c r="D583" t="s">
        <v>25</v>
      </c>
      <c r="E583" s="1">
        <v>44905</v>
      </c>
      <c r="F583" t="s">
        <v>11</v>
      </c>
      <c r="G583">
        <v>6458</v>
      </c>
      <c r="H583">
        <v>6091</v>
      </c>
      <c r="I583">
        <v>3.39</v>
      </c>
      <c r="J583">
        <v>52</v>
      </c>
      <c r="Q583">
        <f t="shared" si="538"/>
        <v>434421</v>
      </c>
    </row>
    <row r="584" spans="1:18" x14ac:dyDescent="0.25">
      <c r="A584" t="s">
        <v>1436</v>
      </c>
      <c r="B584" t="s">
        <v>1437</v>
      </c>
      <c r="C584" t="s">
        <v>21</v>
      </c>
      <c r="D584" t="s">
        <v>9</v>
      </c>
      <c r="E584" t="s">
        <v>1438</v>
      </c>
      <c r="F584" t="s">
        <v>5</v>
      </c>
      <c r="G584">
        <v>4352</v>
      </c>
      <c r="H584">
        <v>2341</v>
      </c>
      <c r="I584">
        <v>3.26</v>
      </c>
      <c r="J584">
        <v>87</v>
      </c>
      <c r="K584">
        <f t="shared" ref="K584" ca="1" si="613">IF(F584="Enrolled", TODAY()-E584, "")</f>
        <v>839</v>
      </c>
      <c r="M584">
        <f ca="1">IF(F584="Enrolled",TODAY() - E584,"")</f>
        <v>839</v>
      </c>
      <c r="N584" t="str">
        <f>IF(I586&gt;=3.5,"Excellent",IF(I586&gt;=3,"Good",IF(I586&gt;=2,"Average","Poor")))</f>
        <v>Average</v>
      </c>
      <c r="O584" t="e">
        <f>VLOOKUP(D584, $T$18:$U$23, 2, FALSE)</f>
        <v>#N/A</v>
      </c>
      <c r="P584" t="str">
        <f t="shared" ref="P584" si="614">IF(H584 &gt; 0.5 * G584, "YES", "NO")</f>
        <v>YES</v>
      </c>
      <c r="Q584">
        <f t="shared" si="538"/>
        <v>434421</v>
      </c>
      <c r="R584" t="str">
        <f>IF(MONTH(E578)&gt;=6, YEAR(E578) &amp; "-" &amp; YEAR(E578)+1, YEAR(E578)-1 &amp; "-" &amp; YEAR(E578))</f>
        <v>2024-2025</v>
      </c>
    </row>
    <row r="585" spans="1:18" hidden="1" x14ac:dyDescent="0.25">
      <c r="A585" t="s">
        <v>1439</v>
      </c>
      <c r="B585" t="s">
        <v>1440</v>
      </c>
      <c r="C585" t="s">
        <v>2</v>
      </c>
      <c r="D585" t="s">
        <v>3</v>
      </c>
      <c r="E585" s="1">
        <v>45568</v>
      </c>
      <c r="F585" t="s">
        <v>11</v>
      </c>
      <c r="G585">
        <v>4096</v>
      </c>
      <c r="H585">
        <v>591</v>
      </c>
      <c r="I585">
        <v>2.02</v>
      </c>
      <c r="J585">
        <v>49</v>
      </c>
      <c r="Q585">
        <f t="shared" si="538"/>
        <v>434421</v>
      </c>
    </row>
    <row r="586" spans="1:18" x14ac:dyDescent="0.25">
      <c r="A586" t="s">
        <v>1441</v>
      </c>
      <c r="B586" t="s">
        <v>1442</v>
      </c>
      <c r="C586" t="s">
        <v>17</v>
      </c>
      <c r="D586" t="s">
        <v>25</v>
      </c>
      <c r="E586" t="s">
        <v>663</v>
      </c>
      <c r="F586" t="s">
        <v>5</v>
      </c>
      <c r="G586">
        <v>3042</v>
      </c>
      <c r="H586">
        <v>1972</v>
      </c>
      <c r="I586">
        <v>2.2599999999999998</v>
      </c>
      <c r="J586">
        <v>31</v>
      </c>
      <c r="K586">
        <f t="shared" ref="K586" ca="1" si="615">IF(F586="Enrolled", TODAY()-E586, "")</f>
        <v>1110</v>
      </c>
      <c r="M586">
        <f ca="1">IF(F586="Enrolled",TODAY() - E586,"")</f>
        <v>1110</v>
      </c>
      <c r="N586" t="str">
        <f>IF(I588&gt;=3.5,"Excellent",IF(I588&gt;=3,"Good",IF(I588&gt;=2,"Average","Poor")))</f>
        <v>Excellent</v>
      </c>
      <c r="O586" t="e">
        <f>VLOOKUP(D586, $T$18:$U$23, 2, FALSE)</f>
        <v>#N/A</v>
      </c>
      <c r="P586" t="str">
        <f t="shared" ref="P586" si="616">IF(H586 &gt; 0.5 * G586, "YES", "NO")</f>
        <v>YES</v>
      </c>
      <c r="Q586">
        <f t="shared" si="538"/>
        <v>434421</v>
      </c>
      <c r="R586" t="str">
        <f>IF(MONTH(E580)&gt;=6, YEAR(E580) &amp; "-" &amp; YEAR(E580)+1, YEAR(E580)-1 &amp; "-" &amp; YEAR(E580))</f>
        <v>2024-2025</v>
      </c>
    </row>
    <row r="587" spans="1:18" hidden="1" x14ac:dyDescent="0.25">
      <c r="A587" t="s">
        <v>1443</v>
      </c>
      <c r="B587" t="s">
        <v>1444</v>
      </c>
      <c r="C587" t="s">
        <v>55</v>
      </c>
      <c r="D587" t="s">
        <v>25</v>
      </c>
      <c r="E587" t="s">
        <v>350</v>
      </c>
      <c r="F587" t="s">
        <v>11</v>
      </c>
      <c r="G587">
        <v>8295</v>
      </c>
      <c r="H587">
        <v>7450</v>
      </c>
      <c r="I587">
        <v>2.56</v>
      </c>
      <c r="J587">
        <v>1</v>
      </c>
      <c r="Q587">
        <f t="shared" si="538"/>
        <v>434421</v>
      </c>
    </row>
    <row r="588" spans="1:18" hidden="1" x14ac:dyDescent="0.25">
      <c r="A588" t="s">
        <v>1445</v>
      </c>
      <c r="B588" t="s">
        <v>1446</v>
      </c>
      <c r="C588" t="s">
        <v>17</v>
      </c>
      <c r="D588" t="s">
        <v>65</v>
      </c>
      <c r="E588" t="s">
        <v>556</v>
      </c>
      <c r="F588" t="s">
        <v>11</v>
      </c>
      <c r="G588">
        <v>2625</v>
      </c>
      <c r="H588">
        <v>8101</v>
      </c>
      <c r="I588">
        <v>3.82</v>
      </c>
      <c r="J588">
        <v>95</v>
      </c>
      <c r="Q588">
        <f t="shared" si="538"/>
        <v>434421</v>
      </c>
    </row>
    <row r="589" spans="1:18" x14ac:dyDescent="0.25">
      <c r="A589" t="s">
        <v>1447</v>
      </c>
      <c r="B589" t="s">
        <v>1448</v>
      </c>
      <c r="C589" t="s">
        <v>14</v>
      </c>
      <c r="D589" t="s">
        <v>25</v>
      </c>
      <c r="E589" s="1">
        <v>45050</v>
      </c>
      <c r="F589" t="s">
        <v>5</v>
      </c>
      <c r="G589">
        <v>14579</v>
      </c>
      <c r="H589">
        <v>3149</v>
      </c>
      <c r="I589">
        <v>2.8</v>
      </c>
      <c r="J589">
        <v>89</v>
      </c>
      <c r="K589">
        <f t="shared" ref="K589" ca="1" si="617">IF(F589="Enrolled", TODAY()-E589, "")</f>
        <v>917</v>
      </c>
      <c r="M589">
        <f ca="1">IF(F589="Enrolled",TODAY() - E589,"")</f>
        <v>917</v>
      </c>
      <c r="N589" t="str">
        <f>IF(I591&gt;=3.5,"Excellent",IF(I591&gt;=3,"Good",IF(I591&gt;=2,"Average","Poor")))</f>
        <v>Excellent</v>
      </c>
      <c r="O589" t="e">
        <f>VLOOKUP(D589, $T$18:$U$23, 2, FALSE)</f>
        <v>#N/A</v>
      </c>
      <c r="P589" t="str">
        <f t="shared" ref="P589" si="618">IF(H589 &gt; 0.5 * G589, "YES", "NO")</f>
        <v>NO</v>
      </c>
      <c r="Q589">
        <f t="shared" ref="Q589:Q652" si="619">SUMIFS(G589:G1787, F589:F1787, "Completed", D589:D1787, "Science")</f>
        <v>434421</v>
      </c>
      <c r="R589" t="str">
        <f>IF(MONTH(E583)&gt;=6, YEAR(E583) &amp; "-" &amp; YEAR(E583)+1, YEAR(E583)-1 &amp; "-" &amp; YEAR(E583))</f>
        <v>2022-2023</v>
      </c>
    </row>
    <row r="590" spans="1:18" hidden="1" x14ac:dyDescent="0.25">
      <c r="A590" t="s">
        <v>1449</v>
      </c>
      <c r="B590" t="s">
        <v>1450</v>
      </c>
      <c r="C590" t="s">
        <v>8</v>
      </c>
      <c r="D590" t="s">
        <v>65</v>
      </c>
      <c r="E590" t="s">
        <v>1451</v>
      </c>
      <c r="F590" t="s">
        <v>11</v>
      </c>
      <c r="G590">
        <v>3331</v>
      </c>
      <c r="H590">
        <v>1957</v>
      </c>
      <c r="I590">
        <v>3.12</v>
      </c>
      <c r="J590">
        <v>57</v>
      </c>
      <c r="Q590">
        <f t="shared" si="619"/>
        <v>434421</v>
      </c>
    </row>
    <row r="591" spans="1:18" hidden="1" x14ac:dyDescent="0.25">
      <c r="A591" t="s">
        <v>1452</v>
      </c>
      <c r="B591" t="s">
        <v>1453</v>
      </c>
      <c r="C591" t="s">
        <v>14</v>
      </c>
      <c r="D591" t="s">
        <v>25</v>
      </c>
      <c r="E591" s="1">
        <v>45569</v>
      </c>
      <c r="F591" t="s">
        <v>11</v>
      </c>
      <c r="G591">
        <v>13756</v>
      </c>
      <c r="H591">
        <v>1521</v>
      </c>
      <c r="I591">
        <v>3.84</v>
      </c>
      <c r="J591">
        <v>0</v>
      </c>
      <c r="Q591">
        <f t="shared" si="619"/>
        <v>434421</v>
      </c>
    </row>
    <row r="592" spans="1:18" x14ac:dyDescent="0.25">
      <c r="A592" t="s">
        <v>1454</v>
      </c>
      <c r="B592" t="s">
        <v>1455</v>
      </c>
      <c r="C592" t="s">
        <v>55</v>
      </c>
      <c r="D592" t="s">
        <v>25</v>
      </c>
      <c r="E592" t="s">
        <v>785</v>
      </c>
      <c r="F592" t="s">
        <v>5</v>
      </c>
      <c r="G592">
        <v>2069</v>
      </c>
      <c r="H592">
        <v>9168</v>
      </c>
      <c r="I592">
        <v>2.4</v>
      </c>
      <c r="J592">
        <v>60</v>
      </c>
      <c r="K592">
        <f t="shared" ref="K592:K594" ca="1" si="620">IF(F592="Enrolled", TODAY()-E592, "")</f>
        <v>1027</v>
      </c>
      <c r="M592">
        <f t="shared" ref="M592:M594" ca="1" si="621">IF(F592="Enrolled",TODAY() - E592,"")</f>
        <v>1027</v>
      </c>
      <c r="N592" t="str">
        <f t="shared" ref="N592:N594" si="622">IF(I594&gt;=3.5,"Excellent",IF(I594&gt;=3,"Good",IF(I594&gt;=2,"Average","Poor")))</f>
        <v>Good</v>
      </c>
      <c r="O592" t="e">
        <f t="shared" ref="O592:O594" si="623">VLOOKUP(D592, $T$18:$U$23, 2, FALSE)</f>
        <v>#N/A</v>
      </c>
      <c r="P592" t="str">
        <f t="shared" ref="P592:P594" si="624">IF(H592 &gt; 0.5 * G592, "YES", "NO")</f>
        <v>YES</v>
      </c>
      <c r="Q592">
        <f t="shared" si="619"/>
        <v>434421</v>
      </c>
      <c r="R592" t="str">
        <f t="shared" ref="R592:R594" si="625">IF(MONTH(E586)&gt;=6, YEAR(E586) &amp; "-" &amp; YEAR(E586)+1, YEAR(E586)-1 &amp; "-" &amp; YEAR(E586))</f>
        <v>2022-2023</v>
      </c>
    </row>
    <row r="593" spans="1:18" x14ac:dyDescent="0.25">
      <c r="A593" t="s">
        <v>1456</v>
      </c>
      <c r="B593" t="s">
        <v>1457</v>
      </c>
      <c r="C593" t="s">
        <v>17</v>
      </c>
      <c r="D593" t="s">
        <v>3</v>
      </c>
      <c r="E593" t="s">
        <v>1458</v>
      </c>
      <c r="F593" t="s">
        <v>5</v>
      </c>
      <c r="G593">
        <v>12736</v>
      </c>
      <c r="H593">
        <v>86</v>
      </c>
      <c r="I593">
        <v>3.52</v>
      </c>
      <c r="J593">
        <v>30</v>
      </c>
      <c r="K593">
        <f t="shared" ca="1" si="620"/>
        <v>526</v>
      </c>
      <c r="M593">
        <f t="shared" ca="1" si="621"/>
        <v>526</v>
      </c>
      <c r="N593" t="str">
        <f t="shared" si="622"/>
        <v>Good</v>
      </c>
      <c r="O593" t="e">
        <f t="shared" si="623"/>
        <v>#N/A</v>
      </c>
      <c r="P593" t="str">
        <f t="shared" si="624"/>
        <v>NO</v>
      </c>
      <c r="Q593">
        <f t="shared" si="619"/>
        <v>434421</v>
      </c>
      <c r="R593" t="str">
        <f t="shared" si="625"/>
        <v>2023-2024</v>
      </c>
    </row>
    <row r="594" spans="1:18" x14ac:dyDescent="0.25">
      <c r="A594" t="s">
        <v>1459</v>
      </c>
      <c r="B594" t="s">
        <v>1460</v>
      </c>
      <c r="C594" t="s">
        <v>17</v>
      </c>
      <c r="D594" t="s">
        <v>65</v>
      </c>
      <c r="E594" t="s">
        <v>675</v>
      </c>
      <c r="F594" t="s">
        <v>5</v>
      </c>
      <c r="G594">
        <v>9002</v>
      </c>
      <c r="H594">
        <v>9521</v>
      </c>
      <c r="I594">
        <v>3.31</v>
      </c>
      <c r="J594">
        <v>25</v>
      </c>
      <c r="K594">
        <f t="shared" ca="1" si="620"/>
        <v>691</v>
      </c>
      <c r="M594">
        <f t="shared" ca="1" si="621"/>
        <v>691</v>
      </c>
      <c r="N594" t="str">
        <f t="shared" si="622"/>
        <v>Good</v>
      </c>
      <c r="O594" t="e">
        <f t="shared" si="623"/>
        <v>#N/A</v>
      </c>
      <c r="P594" t="str">
        <f t="shared" si="624"/>
        <v>YES</v>
      </c>
      <c r="Q594">
        <f t="shared" si="619"/>
        <v>434421</v>
      </c>
      <c r="R594" t="str">
        <f t="shared" si="625"/>
        <v>2023-2024</v>
      </c>
    </row>
    <row r="595" spans="1:18" hidden="1" x14ac:dyDescent="0.25">
      <c r="A595" t="s">
        <v>1461</v>
      </c>
      <c r="B595" t="s">
        <v>1462</v>
      </c>
      <c r="C595" t="s">
        <v>32</v>
      </c>
      <c r="D595" t="s">
        <v>9</v>
      </c>
      <c r="E595" t="s">
        <v>713</v>
      </c>
      <c r="F595" t="s">
        <v>36</v>
      </c>
      <c r="G595">
        <v>10702</v>
      </c>
      <c r="H595">
        <v>2826</v>
      </c>
      <c r="I595">
        <v>3.39</v>
      </c>
      <c r="J595">
        <v>6</v>
      </c>
      <c r="Q595">
        <f t="shared" si="619"/>
        <v>434421</v>
      </c>
    </row>
    <row r="596" spans="1:18" hidden="1" x14ac:dyDescent="0.25">
      <c r="A596" t="s">
        <v>1463</v>
      </c>
      <c r="B596" t="s">
        <v>1464</v>
      </c>
      <c r="C596" t="s">
        <v>8</v>
      </c>
      <c r="D596" t="s">
        <v>65</v>
      </c>
      <c r="E596" t="s">
        <v>1052</v>
      </c>
      <c r="F596" t="s">
        <v>11</v>
      </c>
      <c r="G596">
        <v>13535</v>
      </c>
      <c r="H596">
        <v>8752</v>
      </c>
      <c r="I596">
        <v>3.17</v>
      </c>
      <c r="J596">
        <v>73</v>
      </c>
      <c r="Q596">
        <f t="shared" si="619"/>
        <v>434421</v>
      </c>
    </row>
    <row r="597" spans="1:18" x14ac:dyDescent="0.25">
      <c r="A597" t="s">
        <v>1465</v>
      </c>
      <c r="B597" t="s">
        <v>1466</v>
      </c>
      <c r="C597" t="s">
        <v>2</v>
      </c>
      <c r="D597" t="s">
        <v>9</v>
      </c>
      <c r="E597" t="s">
        <v>1467</v>
      </c>
      <c r="F597" t="s">
        <v>5</v>
      </c>
      <c r="G597">
        <v>11144</v>
      </c>
      <c r="H597">
        <v>6352</v>
      </c>
      <c r="I597">
        <v>2.89</v>
      </c>
      <c r="J597">
        <v>98</v>
      </c>
      <c r="K597">
        <f t="shared" ref="K597" ca="1" si="626">IF(F597="Enrolled", TODAY()-E597, "")</f>
        <v>1227</v>
      </c>
      <c r="M597">
        <f ca="1">IF(F597="Enrolled",TODAY() - E597,"")</f>
        <v>1227</v>
      </c>
      <c r="N597" t="str">
        <f>IF(I599&gt;=3.5,"Excellent",IF(I599&gt;=3,"Good",IF(I599&gt;=2,"Average","Poor")))</f>
        <v>Average</v>
      </c>
      <c r="O597" t="e">
        <f>VLOOKUP(D597, $T$18:$U$23, 2, FALSE)</f>
        <v>#N/A</v>
      </c>
      <c r="P597" t="str">
        <f t="shared" ref="P597" si="627">IF(H597 &gt; 0.5 * G597, "YES", "NO")</f>
        <v>YES</v>
      </c>
      <c r="Q597">
        <f t="shared" si="619"/>
        <v>434421</v>
      </c>
      <c r="R597" t="str">
        <f>IF(MONTH(E591)&gt;=6, YEAR(E591) &amp; "-" &amp; YEAR(E591)+1, YEAR(E591)-1 &amp; "-" &amp; YEAR(E591))</f>
        <v>2024-2025</v>
      </c>
    </row>
    <row r="598" spans="1:18" hidden="1" x14ac:dyDescent="0.25">
      <c r="A598" t="s">
        <v>1468</v>
      </c>
      <c r="B598" t="s">
        <v>1469</v>
      </c>
      <c r="C598" t="s">
        <v>32</v>
      </c>
      <c r="D598" t="s">
        <v>9</v>
      </c>
      <c r="E598" s="1">
        <v>44989</v>
      </c>
      <c r="F598" t="s">
        <v>11</v>
      </c>
      <c r="G598">
        <v>9401</v>
      </c>
      <c r="H598">
        <v>5071</v>
      </c>
      <c r="I598">
        <v>2.8</v>
      </c>
      <c r="J598">
        <v>78</v>
      </c>
      <c r="Q598">
        <f t="shared" si="619"/>
        <v>434421</v>
      </c>
    </row>
    <row r="599" spans="1:18" hidden="1" x14ac:dyDescent="0.25">
      <c r="A599" t="s">
        <v>1470</v>
      </c>
      <c r="B599" t="s">
        <v>1471</v>
      </c>
      <c r="C599" t="s">
        <v>32</v>
      </c>
      <c r="D599" t="s">
        <v>65</v>
      </c>
      <c r="E599" t="s">
        <v>1472</v>
      </c>
      <c r="F599" t="s">
        <v>36</v>
      </c>
      <c r="G599">
        <v>6027</v>
      </c>
      <c r="H599">
        <v>8515</v>
      </c>
      <c r="I599">
        <v>2.76</v>
      </c>
      <c r="J599">
        <v>50</v>
      </c>
      <c r="Q599">
        <f t="shared" si="619"/>
        <v>425020</v>
      </c>
    </row>
    <row r="600" spans="1:18" hidden="1" x14ac:dyDescent="0.25">
      <c r="A600" t="s">
        <v>1473</v>
      </c>
      <c r="B600" t="s">
        <v>1474</v>
      </c>
      <c r="C600" t="s">
        <v>32</v>
      </c>
      <c r="D600" t="s">
        <v>9</v>
      </c>
      <c r="E600" t="s">
        <v>1475</v>
      </c>
      <c r="F600" t="s">
        <v>36</v>
      </c>
      <c r="G600">
        <v>14933</v>
      </c>
      <c r="H600">
        <v>5194</v>
      </c>
      <c r="I600">
        <v>3.8</v>
      </c>
      <c r="J600">
        <v>71</v>
      </c>
      <c r="Q600">
        <f t="shared" si="619"/>
        <v>425020</v>
      </c>
    </row>
    <row r="601" spans="1:18" x14ac:dyDescent="0.25">
      <c r="A601" t="s">
        <v>1476</v>
      </c>
      <c r="B601" t="s">
        <v>1477</v>
      </c>
      <c r="C601" t="s">
        <v>32</v>
      </c>
      <c r="D601" t="s">
        <v>3</v>
      </c>
      <c r="E601" t="s">
        <v>1478</v>
      </c>
      <c r="F601" t="s">
        <v>5</v>
      </c>
      <c r="G601">
        <v>4556</v>
      </c>
      <c r="H601">
        <v>2074</v>
      </c>
      <c r="I601">
        <v>3.47</v>
      </c>
      <c r="J601">
        <v>13</v>
      </c>
      <c r="K601">
        <f t="shared" ref="K601:K605" ca="1" si="628">IF(F601="Enrolled", TODAY()-E601, "")</f>
        <v>1119</v>
      </c>
      <c r="M601">
        <f t="shared" ref="M601:M605" ca="1" si="629">IF(F601="Enrolled",TODAY() - E601,"")</f>
        <v>1119</v>
      </c>
      <c r="N601" t="str">
        <f t="shared" ref="N601:N605" si="630">IF(I603&gt;=3.5,"Excellent",IF(I603&gt;=3,"Good",IF(I603&gt;=2,"Average","Poor")))</f>
        <v>Average</v>
      </c>
      <c r="O601" t="e">
        <f t="shared" ref="O601:O605" si="631">VLOOKUP(D601, $T$18:$U$23, 2, FALSE)</f>
        <v>#N/A</v>
      </c>
      <c r="P601" t="str">
        <f t="shared" ref="P601:P605" si="632">IF(H601 &gt; 0.5 * G601, "YES", "NO")</f>
        <v>NO</v>
      </c>
      <c r="Q601">
        <f t="shared" si="619"/>
        <v>425020</v>
      </c>
      <c r="R601" t="str">
        <f t="shared" ref="R601:R605" si="633">IF(MONTH(E595)&gt;=6, YEAR(E595) &amp; "-" &amp; YEAR(E595)+1, YEAR(E595)-1 &amp; "-" &amp; YEAR(E595))</f>
        <v>2023-2024</v>
      </c>
    </row>
    <row r="602" spans="1:18" x14ac:dyDescent="0.25">
      <c r="A602" t="s">
        <v>1479</v>
      </c>
      <c r="B602" t="s">
        <v>1480</v>
      </c>
      <c r="C602" t="s">
        <v>32</v>
      </c>
      <c r="D602" t="s">
        <v>65</v>
      </c>
      <c r="E602" s="1">
        <v>44938</v>
      </c>
      <c r="F602" t="s">
        <v>5</v>
      </c>
      <c r="G602">
        <v>6572</v>
      </c>
      <c r="H602">
        <v>7509</v>
      </c>
      <c r="I602">
        <v>3.43</v>
      </c>
      <c r="J602">
        <v>9</v>
      </c>
      <c r="K602">
        <f t="shared" ca="1" si="628"/>
        <v>1029</v>
      </c>
      <c r="M602">
        <f t="shared" ca="1" si="629"/>
        <v>1029</v>
      </c>
      <c r="N602" t="str">
        <f t="shared" si="630"/>
        <v>Excellent</v>
      </c>
      <c r="O602" t="e">
        <f t="shared" si="631"/>
        <v>#N/A</v>
      </c>
      <c r="P602" t="str">
        <f t="shared" si="632"/>
        <v>YES</v>
      </c>
      <c r="Q602">
        <f t="shared" si="619"/>
        <v>425020</v>
      </c>
      <c r="R602" t="str">
        <f t="shared" si="633"/>
        <v>2022-2023</v>
      </c>
    </row>
    <row r="603" spans="1:18" x14ac:dyDescent="0.25">
      <c r="A603" t="s">
        <v>1481</v>
      </c>
      <c r="B603" t="s">
        <v>1482</v>
      </c>
      <c r="C603" t="s">
        <v>2</v>
      </c>
      <c r="D603" t="s">
        <v>65</v>
      </c>
      <c r="E603" t="s">
        <v>1483</v>
      </c>
      <c r="F603" t="s">
        <v>5</v>
      </c>
      <c r="G603">
        <v>2372</v>
      </c>
      <c r="H603">
        <v>4974</v>
      </c>
      <c r="I603">
        <v>2.8</v>
      </c>
      <c r="J603">
        <v>51</v>
      </c>
      <c r="K603">
        <f t="shared" ca="1" si="628"/>
        <v>783</v>
      </c>
      <c r="M603">
        <f t="shared" ca="1" si="629"/>
        <v>783</v>
      </c>
      <c r="N603" t="str">
        <f t="shared" si="630"/>
        <v>Excellent</v>
      </c>
      <c r="O603" t="e">
        <f t="shared" si="631"/>
        <v>#N/A</v>
      </c>
      <c r="P603" t="str">
        <f t="shared" si="632"/>
        <v>YES</v>
      </c>
      <c r="Q603">
        <f t="shared" si="619"/>
        <v>425020</v>
      </c>
      <c r="R603" t="str">
        <f t="shared" si="633"/>
        <v>2022-2023</v>
      </c>
    </row>
    <row r="604" spans="1:18" x14ac:dyDescent="0.25">
      <c r="A604" t="s">
        <v>1484</v>
      </c>
      <c r="B604" t="s">
        <v>1485</v>
      </c>
      <c r="C604" t="s">
        <v>32</v>
      </c>
      <c r="D604" t="s">
        <v>25</v>
      </c>
      <c r="E604" t="s">
        <v>1486</v>
      </c>
      <c r="F604" t="s">
        <v>5</v>
      </c>
      <c r="G604">
        <v>10692</v>
      </c>
      <c r="H604">
        <v>6679</v>
      </c>
      <c r="I604">
        <v>3.85</v>
      </c>
      <c r="J604">
        <v>90</v>
      </c>
      <c r="K604">
        <f t="shared" ca="1" si="628"/>
        <v>842</v>
      </c>
      <c r="M604">
        <f t="shared" ca="1" si="629"/>
        <v>842</v>
      </c>
      <c r="N604" t="str">
        <f t="shared" si="630"/>
        <v>Excellent</v>
      </c>
      <c r="O604" t="e">
        <f t="shared" si="631"/>
        <v>#N/A</v>
      </c>
      <c r="P604" t="str">
        <f t="shared" si="632"/>
        <v>YES</v>
      </c>
      <c r="Q604">
        <f t="shared" si="619"/>
        <v>425020</v>
      </c>
      <c r="R604" t="str">
        <f t="shared" si="633"/>
        <v>2022-2023</v>
      </c>
    </row>
    <row r="605" spans="1:18" x14ac:dyDescent="0.25">
      <c r="A605" t="s">
        <v>1487</v>
      </c>
      <c r="B605" t="s">
        <v>1488</v>
      </c>
      <c r="C605" t="s">
        <v>55</v>
      </c>
      <c r="D605" t="s">
        <v>25</v>
      </c>
      <c r="E605" t="s">
        <v>1489</v>
      </c>
      <c r="F605" t="s">
        <v>5</v>
      </c>
      <c r="G605">
        <v>13268</v>
      </c>
      <c r="H605">
        <v>1099</v>
      </c>
      <c r="I605">
        <v>3.63</v>
      </c>
      <c r="J605">
        <v>105</v>
      </c>
      <c r="K605">
        <f t="shared" ca="1" si="628"/>
        <v>535</v>
      </c>
      <c r="M605">
        <f t="shared" ca="1" si="629"/>
        <v>535</v>
      </c>
      <c r="N605" t="str">
        <f t="shared" si="630"/>
        <v>Average</v>
      </c>
      <c r="O605" t="e">
        <f t="shared" si="631"/>
        <v>#N/A</v>
      </c>
      <c r="P605" t="str">
        <f t="shared" si="632"/>
        <v>NO</v>
      </c>
      <c r="Q605">
        <f t="shared" si="619"/>
        <v>425020</v>
      </c>
      <c r="R605" t="str">
        <f t="shared" si="633"/>
        <v>2023-2024</v>
      </c>
    </row>
    <row r="606" spans="1:18" hidden="1" x14ac:dyDescent="0.25">
      <c r="A606" t="s">
        <v>1490</v>
      </c>
      <c r="B606" t="s">
        <v>1491</v>
      </c>
      <c r="C606" t="s">
        <v>32</v>
      </c>
      <c r="D606" t="s">
        <v>9</v>
      </c>
      <c r="E606" s="1">
        <v>45211</v>
      </c>
      <c r="F606" t="s">
        <v>11</v>
      </c>
      <c r="G606">
        <v>13205</v>
      </c>
      <c r="H606">
        <v>4398</v>
      </c>
      <c r="I606">
        <v>3.87</v>
      </c>
      <c r="J606">
        <v>55</v>
      </c>
      <c r="Q606">
        <f t="shared" si="619"/>
        <v>425020</v>
      </c>
    </row>
    <row r="607" spans="1:18" hidden="1" x14ac:dyDescent="0.25">
      <c r="A607" t="s">
        <v>1492</v>
      </c>
      <c r="B607" t="s">
        <v>1493</v>
      </c>
      <c r="C607" t="s">
        <v>58</v>
      </c>
      <c r="D607" t="s">
        <v>3</v>
      </c>
      <c r="E607" s="1">
        <v>44846</v>
      </c>
      <c r="F607" t="s">
        <v>11</v>
      </c>
      <c r="G607">
        <v>14226</v>
      </c>
      <c r="H607">
        <v>7209</v>
      </c>
      <c r="I607">
        <v>2.8</v>
      </c>
      <c r="J607">
        <v>77</v>
      </c>
      <c r="Q607">
        <f t="shared" si="619"/>
        <v>411815</v>
      </c>
    </row>
    <row r="608" spans="1:18" x14ac:dyDescent="0.25">
      <c r="A608" t="s">
        <v>1494</v>
      </c>
      <c r="B608" t="s">
        <v>1495</v>
      </c>
      <c r="C608" t="s">
        <v>14</v>
      </c>
      <c r="D608" t="s">
        <v>9</v>
      </c>
      <c r="E608" s="1">
        <v>45141</v>
      </c>
      <c r="F608" t="s">
        <v>5</v>
      </c>
      <c r="G608">
        <v>8513</v>
      </c>
      <c r="H608">
        <v>1900</v>
      </c>
      <c r="I608">
        <v>2.38</v>
      </c>
      <c r="J608">
        <v>32</v>
      </c>
      <c r="K608">
        <f t="shared" ref="K608:K611" ca="1" si="634">IF(F608="Enrolled", TODAY()-E608, "")</f>
        <v>826</v>
      </c>
      <c r="M608">
        <f t="shared" ref="M608:M611" ca="1" si="635">IF(F608="Enrolled",TODAY() - E608,"")</f>
        <v>826</v>
      </c>
      <c r="N608" t="str">
        <f t="shared" ref="N608:N611" si="636">IF(I610&gt;=3.5,"Excellent",IF(I610&gt;=3,"Good",IF(I610&gt;=2,"Average","Poor")))</f>
        <v>Average</v>
      </c>
      <c r="O608" t="e">
        <f t="shared" ref="O608:O611" si="637">VLOOKUP(D608, $T$18:$U$23, 2, FALSE)</f>
        <v>#N/A</v>
      </c>
      <c r="P608" t="str">
        <f t="shared" ref="P608:P611" si="638">IF(H608 &gt; 0.5 * G608, "YES", "NO")</f>
        <v>NO</v>
      </c>
      <c r="Q608">
        <f t="shared" si="619"/>
        <v>411815</v>
      </c>
      <c r="R608" t="str">
        <f t="shared" ref="R608:R611" si="639">IF(MONTH(E602)&gt;=6, YEAR(E602) &amp; "-" &amp; YEAR(E602)+1, YEAR(E602)-1 &amp; "-" &amp; YEAR(E602))</f>
        <v>2022-2023</v>
      </c>
    </row>
    <row r="609" spans="1:18" x14ac:dyDescent="0.25">
      <c r="A609" t="s">
        <v>1496</v>
      </c>
      <c r="B609" t="s">
        <v>1497</v>
      </c>
      <c r="C609" t="s">
        <v>55</v>
      </c>
      <c r="D609" t="s">
        <v>3</v>
      </c>
      <c r="E609" t="s">
        <v>4</v>
      </c>
      <c r="F609" t="s">
        <v>5</v>
      </c>
      <c r="G609">
        <v>11839</v>
      </c>
      <c r="H609">
        <v>2074</v>
      </c>
      <c r="I609">
        <v>2.94</v>
      </c>
      <c r="J609">
        <v>9</v>
      </c>
      <c r="K609">
        <f t="shared" ca="1" si="634"/>
        <v>954</v>
      </c>
      <c r="M609">
        <f t="shared" ca="1" si="635"/>
        <v>954</v>
      </c>
      <c r="N609" t="str">
        <f t="shared" si="636"/>
        <v>Excellent</v>
      </c>
      <c r="O609" t="e">
        <f t="shared" si="637"/>
        <v>#N/A</v>
      </c>
      <c r="P609" t="str">
        <f t="shared" si="638"/>
        <v>NO</v>
      </c>
      <c r="Q609">
        <f t="shared" si="619"/>
        <v>411815</v>
      </c>
      <c r="R609" t="str">
        <f t="shared" si="639"/>
        <v>2023-2024</v>
      </c>
    </row>
    <row r="610" spans="1:18" x14ac:dyDescent="0.25">
      <c r="A610" t="s">
        <v>1498</v>
      </c>
      <c r="B610" t="s">
        <v>1499</v>
      </c>
      <c r="C610" t="s">
        <v>14</v>
      </c>
      <c r="D610" t="s">
        <v>65</v>
      </c>
      <c r="E610" t="s">
        <v>1500</v>
      </c>
      <c r="F610" t="s">
        <v>5</v>
      </c>
      <c r="G610">
        <v>11789</v>
      </c>
      <c r="H610">
        <v>2842</v>
      </c>
      <c r="I610">
        <v>2.0499999999999998</v>
      </c>
      <c r="J610">
        <v>103</v>
      </c>
      <c r="K610">
        <f t="shared" ca="1" si="634"/>
        <v>862</v>
      </c>
      <c r="M610">
        <f t="shared" ca="1" si="635"/>
        <v>862</v>
      </c>
      <c r="N610" t="str">
        <f t="shared" si="636"/>
        <v>Average</v>
      </c>
      <c r="O610" t="e">
        <f t="shared" si="637"/>
        <v>#N/A</v>
      </c>
      <c r="P610" t="str">
        <f t="shared" si="638"/>
        <v>NO</v>
      </c>
      <c r="Q610">
        <f t="shared" si="619"/>
        <v>411815</v>
      </c>
      <c r="R610" t="str">
        <f t="shared" si="639"/>
        <v>2023-2024</v>
      </c>
    </row>
    <row r="611" spans="1:18" x14ac:dyDescent="0.25">
      <c r="A611" t="s">
        <v>1501</v>
      </c>
      <c r="B611" t="s">
        <v>1502</v>
      </c>
      <c r="C611" t="s">
        <v>55</v>
      </c>
      <c r="D611" t="s">
        <v>9</v>
      </c>
      <c r="E611" t="s">
        <v>1503</v>
      </c>
      <c r="F611" t="s">
        <v>5</v>
      </c>
      <c r="G611">
        <v>8777</v>
      </c>
      <c r="H611">
        <v>5534</v>
      </c>
      <c r="I611">
        <v>3.92</v>
      </c>
      <c r="J611">
        <v>44</v>
      </c>
      <c r="K611">
        <f t="shared" ca="1" si="634"/>
        <v>532</v>
      </c>
      <c r="M611">
        <f t="shared" ca="1" si="635"/>
        <v>532</v>
      </c>
      <c r="N611" t="str">
        <f t="shared" si="636"/>
        <v>Average</v>
      </c>
      <c r="O611" t="e">
        <f t="shared" si="637"/>
        <v>#N/A</v>
      </c>
      <c r="P611" t="str">
        <f t="shared" si="638"/>
        <v>YES</v>
      </c>
      <c r="Q611">
        <f t="shared" si="619"/>
        <v>411815</v>
      </c>
      <c r="R611" t="str">
        <f t="shared" si="639"/>
        <v>2023-2024</v>
      </c>
    </row>
    <row r="612" spans="1:18" hidden="1" x14ac:dyDescent="0.25">
      <c r="A612" t="s">
        <v>1504</v>
      </c>
      <c r="B612" t="s">
        <v>1505</v>
      </c>
      <c r="C612" t="s">
        <v>55</v>
      </c>
      <c r="D612" t="s">
        <v>65</v>
      </c>
      <c r="E612" s="1">
        <v>45142</v>
      </c>
      <c r="F612" t="s">
        <v>36</v>
      </c>
      <c r="G612">
        <v>14001</v>
      </c>
      <c r="H612">
        <v>1920</v>
      </c>
      <c r="I612">
        <v>2.66</v>
      </c>
      <c r="J612">
        <v>83</v>
      </c>
      <c r="Q612">
        <f t="shared" si="619"/>
        <v>411815</v>
      </c>
    </row>
    <row r="613" spans="1:18" hidden="1" x14ac:dyDescent="0.25">
      <c r="A613" t="s">
        <v>1506</v>
      </c>
      <c r="B613" t="s">
        <v>1507</v>
      </c>
      <c r="C613" t="s">
        <v>32</v>
      </c>
      <c r="D613" t="s">
        <v>3</v>
      </c>
      <c r="E613" t="s">
        <v>529</v>
      </c>
      <c r="F613" t="s">
        <v>36</v>
      </c>
      <c r="G613">
        <v>10096</v>
      </c>
      <c r="H613">
        <v>7573</v>
      </c>
      <c r="I613">
        <v>2.58</v>
      </c>
      <c r="J613">
        <v>99</v>
      </c>
      <c r="Q613">
        <f t="shared" si="619"/>
        <v>411815</v>
      </c>
    </row>
    <row r="614" spans="1:18" x14ac:dyDescent="0.25">
      <c r="A614" t="s">
        <v>1508</v>
      </c>
      <c r="B614" t="s">
        <v>1509</v>
      </c>
      <c r="C614" t="s">
        <v>14</v>
      </c>
      <c r="D614" t="s">
        <v>3</v>
      </c>
      <c r="E614" s="1">
        <v>45118</v>
      </c>
      <c r="F614" t="s">
        <v>5</v>
      </c>
      <c r="G614">
        <v>12350</v>
      </c>
      <c r="H614">
        <v>9222</v>
      </c>
      <c r="I614">
        <v>2.86</v>
      </c>
      <c r="J614">
        <v>31</v>
      </c>
      <c r="K614">
        <f t="shared" ref="K614:K618" ca="1" si="640">IF(F614="Enrolled", TODAY()-E614, "")</f>
        <v>849</v>
      </c>
      <c r="M614">
        <f t="shared" ref="M614:M618" ca="1" si="641">IF(F614="Enrolled",TODAY() - E614,"")</f>
        <v>849</v>
      </c>
      <c r="N614" t="str">
        <f t="shared" ref="N614:N618" si="642">IF(I616&gt;=3.5,"Excellent",IF(I616&gt;=3,"Good",IF(I616&gt;=2,"Average","Poor")))</f>
        <v>Average</v>
      </c>
      <c r="O614" t="e">
        <f t="shared" ref="O614:O618" si="643">VLOOKUP(D614, $T$18:$U$23, 2, FALSE)</f>
        <v>#N/A</v>
      </c>
      <c r="P614" t="str">
        <f t="shared" ref="P614:P618" si="644">IF(H614 &gt; 0.5 * G614, "YES", "NO")</f>
        <v>YES</v>
      </c>
      <c r="Q614">
        <f t="shared" si="619"/>
        <v>411815</v>
      </c>
      <c r="R614" t="str">
        <f t="shared" ref="R614:R618" si="645">IF(MONTH(E608)&gt;=6, YEAR(E608) &amp; "-" &amp; YEAR(E608)+1, YEAR(E608)-1 &amp; "-" &amp; YEAR(E608))</f>
        <v>2023-2024</v>
      </c>
    </row>
    <row r="615" spans="1:18" x14ac:dyDescent="0.25">
      <c r="A615" t="s">
        <v>1510</v>
      </c>
      <c r="B615" t="s">
        <v>1511</v>
      </c>
      <c r="C615" t="s">
        <v>55</v>
      </c>
      <c r="D615" t="s">
        <v>9</v>
      </c>
      <c r="E615" s="1">
        <v>45599</v>
      </c>
      <c r="F615" t="s">
        <v>5</v>
      </c>
      <c r="G615">
        <v>7322</v>
      </c>
      <c r="H615">
        <v>1136</v>
      </c>
      <c r="I615">
        <v>2.16</v>
      </c>
      <c r="J615">
        <v>38</v>
      </c>
      <c r="K615">
        <f t="shared" ca="1" si="640"/>
        <v>368</v>
      </c>
      <c r="M615">
        <f t="shared" ca="1" si="641"/>
        <v>368</v>
      </c>
      <c r="N615" t="str">
        <f t="shared" si="642"/>
        <v>Good</v>
      </c>
      <c r="O615" t="e">
        <f t="shared" si="643"/>
        <v>#N/A</v>
      </c>
      <c r="P615" t="str">
        <f t="shared" si="644"/>
        <v>NO</v>
      </c>
      <c r="Q615">
        <f t="shared" si="619"/>
        <v>411815</v>
      </c>
      <c r="R615" t="str">
        <f t="shared" si="645"/>
        <v>2022-2023</v>
      </c>
    </row>
    <row r="616" spans="1:18" x14ac:dyDescent="0.25">
      <c r="A616" t="s">
        <v>1512</v>
      </c>
      <c r="B616" t="s">
        <v>1513</v>
      </c>
      <c r="C616" t="s">
        <v>21</v>
      </c>
      <c r="D616" t="s">
        <v>25</v>
      </c>
      <c r="E616" s="1">
        <v>45630</v>
      </c>
      <c r="F616" t="s">
        <v>5</v>
      </c>
      <c r="G616">
        <v>5312</v>
      </c>
      <c r="H616">
        <v>8824</v>
      </c>
      <c r="I616">
        <v>2.78</v>
      </c>
      <c r="J616">
        <v>25</v>
      </c>
      <c r="K616">
        <f t="shared" ca="1" si="640"/>
        <v>337</v>
      </c>
      <c r="M616">
        <f t="shared" ca="1" si="641"/>
        <v>337</v>
      </c>
      <c r="N616" t="str">
        <f t="shared" si="642"/>
        <v>Average</v>
      </c>
      <c r="O616" t="e">
        <f t="shared" si="643"/>
        <v>#N/A</v>
      </c>
      <c r="P616" t="str">
        <f t="shared" si="644"/>
        <v>YES</v>
      </c>
      <c r="Q616">
        <f t="shared" si="619"/>
        <v>411815</v>
      </c>
      <c r="R616" t="str">
        <f t="shared" si="645"/>
        <v>2023-2024</v>
      </c>
    </row>
    <row r="617" spans="1:18" x14ac:dyDescent="0.25">
      <c r="A617" t="s">
        <v>1514</v>
      </c>
      <c r="B617" t="s">
        <v>1515</v>
      </c>
      <c r="C617" t="s">
        <v>14</v>
      </c>
      <c r="D617" t="s">
        <v>65</v>
      </c>
      <c r="E617" s="1">
        <v>45323</v>
      </c>
      <c r="F617" t="s">
        <v>5</v>
      </c>
      <c r="G617">
        <v>6373</v>
      </c>
      <c r="H617">
        <v>5830</v>
      </c>
      <c r="I617">
        <v>3.33</v>
      </c>
      <c r="J617">
        <v>54</v>
      </c>
      <c r="K617">
        <f t="shared" ca="1" si="640"/>
        <v>644</v>
      </c>
      <c r="M617">
        <f t="shared" ca="1" si="641"/>
        <v>644</v>
      </c>
      <c r="N617" t="str">
        <f t="shared" si="642"/>
        <v>Excellent</v>
      </c>
      <c r="O617" t="e">
        <f t="shared" si="643"/>
        <v>#N/A</v>
      </c>
      <c r="P617" t="str">
        <f t="shared" si="644"/>
        <v>YES</v>
      </c>
      <c r="Q617">
        <f t="shared" si="619"/>
        <v>411815</v>
      </c>
      <c r="R617" t="str">
        <f t="shared" si="645"/>
        <v>2023-2024</v>
      </c>
    </row>
    <row r="618" spans="1:18" x14ac:dyDescent="0.25">
      <c r="A618" t="s">
        <v>1516</v>
      </c>
      <c r="B618" t="s">
        <v>1517</v>
      </c>
      <c r="C618" t="s">
        <v>58</v>
      </c>
      <c r="D618" t="s">
        <v>25</v>
      </c>
      <c r="E618" t="s">
        <v>1483</v>
      </c>
      <c r="F618" t="s">
        <v>5</v>
      </c>
      <c r="G618">
        <v>4233</v>
      </c>
      <c r="H618">
        <v>3690</v>
      </c>
      <c r="I618">
        <v>2.95</v>
      </c>
      <c r="J618">
        <v>25</v>
      </c>
      <c r="K618">
        <f t="shared" ca="1" si="640"/>
        <v>783</v>
      </c>
      <c r="M618">
        <f t="shared" ca="1" si="641"/>
        <v>783</v>
      </c>
      <c r="N618" t="str">
        <f t="shared" si="642"/>
        <v>Average</v>
      </c>
      <c r="O618" t="e">
        <f t="shared" si="643"/>
        <v>#N/A</v>
      </c>
      <c r="P618" t="str">
        <f t="shared" si="644"/>
        <v>YES</v>
      </c>
      <c r="Q618">
        <f t="shared" si="619"/>
        <v>411815</v>
      </c>
      <c r="R618" t="str">
        <f t="shared" si="645"/>
        <v>2023-2024</v>
      </c>
    </row>
    <row r="619" spans="1:18" hidden="1" x14ac:dyDescent="0.25">
      <c r="A619" t="s">
        <v>1518</v>
      </c>
      <c r="B619" t="s">
        <v>1519</v>
      </c>
      <c r="C619" t="s">
        <v>2</v>
      </c>
      <c r="D619" t="s">
        <v>65</v>
      </c>
      <c r="E619" t="s">
        <v>1520</v>
      </c>
      <c r="F619" t="s">
        <v>11</v>
      </c>
      <c r="G619">
        <v>13229</v>
      </c>
      <c r="H619">
        <v>4756</v>
      </c>
      <c r="I619">
        <v>3.6</v>
      </c>
      <c r="J619">
        <v>93</v>
      </c>
      <c r="Q619">
        <f t="shared" si="619"/>
        <v>411815</v>
      </c>
    </row>
    <row r="620" spans="1:18" x14ac:dyDescent="0.25">
      <c r="A620" t="s">
        <v>1521</v>
      </c>
      <c r="B620" t="s">
        <v>1522</v>
      </c>
      <c r="C620" t="s">
        <v>58</v>
      </c>
      <c r="D620" t="s">
        <v>9</v>
      </c>
      <c r="E620" t="s">
        <v>1523</v>
      </c>
      <c r="F620" t="s">
        <v>5</v>
      </c>
      <c r="G620">
        <v>3758</v>
      </c>
      <c r="H620">
        <v>7268</v>
      </c>
      <c r="I620">
        <v>2.16</v>
      </c>
      <c r="J620">
        <v>57</v>
      </c>
      <c r="K620">
        <f t="shared" ref="K620" ca="1" si="646">IF(F620="Enrolled", TODAY()-E620, "")</f>
        <v>622</v>
      </c>
      <c r="M620">
        <f ca="1">IF(F620="Enrolled",TODAY() - E620,"")</f>
        <v>622</v>
      </c>
      <c r="N620" t="str">
        <f>IF(I622&gt;=3.5,"Excellent",IF(I622&gt;=3,"Good",IF(I622&gt;=2,"Average","Poor")))</f>
        <v>Good</v>
      </c>
      <c r="O620" t="e">
        <f>VLOOKUP(D620, $T$18:$U$23, 2, FALSE)</f>
        <v>#N/A</v>
      </c>
      <c r="P620" t="str">
        <f t="shared" ref="P620" si="647">IF(H620 &gt; 0.5 * G620, "YES", "NO")</f>
        <v>YES</v>
      </c>
      <c r="Q620">
        <f t="shared" si="619"/>
        <v>411815</v>
      </c>
      <c r="R620" t="str">
        <f>IF(MONTH(E614)&gt;=6, YEAR(E614) &amp; "-" &amp; YEAR(E614)+1, YEAR(E614)-1 &amp; "-" &amp; YEAR(E614))</f>
        <v>2023-2024</v>
      </c>
    </row>
    <row r="621" spans="1:18" hidden="1" x14ac:dyDescent="0.25">
      <c r="A621" t="s">
        <v>1524</v>
      </c>
      <c r="B621" t="s">
        <v>1525</v>
      </c>
      <c r="C621" t="s">
        <v>14</v>
      </c>
      <c r="D621" t="s">
        <v>3</v>
      </c>
      <c r="E621" t="s">
        <v>1526</v>
      </c>
      <c r="F621" t="s">
        <v>11</v>
      </c>
      <c r="G621">
        <v>12721</v>
      </c>
      <c r="H621">
        <v>2480</v>
      </c>
      <c r="I621">
        <v>3.64</v>
      </c>
      <c r="J621">
        <v>7</v>
      </c>
      <c r="Q621">
        <f t="shared" si="619"/>
        <v>411815</v>
      </c>
    </row>
    <row r="622" spans="1:18" x14ac:dyDescent="0.25">
      <c r="A622" t="s">
        <v>1527</v>
      </c>
      <c r="B622" t="s">
        <v>1528</v>
      </c>
      <c r="C622" t="s">
        <v>58</v>
      </c>
      <c r="D622" t="s">
        <v>9</v>
      </c>
      <c r="E622" t="s">
        <v>958</v>
      </c>
      <c r="F622" t="s">
        <v>5</v>
      </c>
      <c r="G622">
        <v>4337</v>
      </c>
      <c r="H622">
        <v>3817</v>
      </c>
      <c r="I622">
        <v>3.46</v>
      </c>
      <c r="J622">
        <v>45</v>
      </c>
      <c r="K622">
        <f t="shared" ref="K622:K624" ca="1" si="648">IF(F622="Enrolled", TODAY()-E622, "")</f>
        <v>845</v>
      </c>
      <c r="M622">
        <f t="shared" ref="M622:M624" ca="1" si="649">IF(F622="Enrolled",TODAY() - E622,"")</f>
        <v>845</v>
      </c>
      <c r="N622" t="str">
        <f t="shared" ref="N622:N624" si="650">IF(I624&gt;=3.5,"Excellent",IF(I624&gt;=3,"Good",IF(I624&gt;=2,"Average","Poor")))</f>
        <v>Good</v>
      </c>
      <c r="O622" t="e">
        <f t="shared" ref="O622:O624" si="651">VLOOKUP(D622, $T$18:$U$23, 2, FALSE)</f>
        <v>#N/A</v>
      </c>
      <c r="P622" t="str">
        <f t="shared" ref="P622:P624" si="652">IF(H622 &gt; 0.5 * G622, "YES", "NO")</f>
        <v>YES</v>
      </c>
      <c r="Q622">
        <f t="shared" si="619"/>
        <v>411815</v>
      </c>
      <c r="R622" t="str">
        <f t="shared" ref="R622:R624" si="653">IF(MONTH(E616)&gt;=6, YEAR(E616) &amp; "-" &amp; YEAR(E616)+1, YEAR(E616)-1 &amp; "-" &amp; YEAR(E616))</f>
        <v>2024-2025</v>
      </c>
    </row>
    <row r="623" spans="1:18" x14ac:dyDescent="0.25">
      <c r="A623" t="s">
        <v>1529</v>
      </c>
      <c r="B623" t="s">
        <v>1530</v>
      </c>
      <c r="C623" t="s">
        <v>17</v>
      </c>
      <c r="D623" t="s">
        <v>3</v>
      </c>
      <c r="E623" t="s">
        <v>1531</v>
      </c>
      <c r="F623" t="s">
        <v>5</v>
      </c>
      <c r="G623">
        <v>10462</v>
      </c>
      <c r="H623">
        <v>5148</v>
      </c>
      <c r="I623">
        <v>3.84</v>
      </c>
      <c r="J623">
        <v>100</v>
      </c>
      <c r="K623">
        <f t="shared" ca="1" si="648"/>
        <v>961</v>
      </c>
      <c r="M623">
        <f t="shared" ca="1" si="649"/>
        <v>961</v>
      </c>
      <c r="N623" t="str">
        <f t="shared" si="650"/>
        <v>Average</v>
      </c>
      <c r="O623" t="e">
        <f t="shared" si="651"/>
        <v>#N/A</v>
      </c>
      <c r="P623" t="str">
        <f t="shared" si="652"/>
        <v>NO</v>
      </c>
      <c r="Q623">
        <f t="shared" si="619"/>
        <v>411815</v>
      </c>
      <c r="R623" t="str">
        <f t="shared" si="653"/>
        <v>2023-2024</v>
      </c>
    </row>
    <row r="624" spans="1:18" x14ac:dyDescent="0.25">
      <c r="A624" t="s">
        <v>1532</v>
      </c>
      <c r="B624" t="s">
        <v>1533</v>
      </c>
      <c r="C624" t="s">
        <v>58</v>
      </c>
      <c r="D624" t="s">
        <v>3</v>
      </c>
      <c r="E624" s="1">
        <v>44716</v>
      </c>
      <c r="F624" t="s">
        <v>5</v>
      </c>
      <c r="G624">
        <v>3395</v>
      </c>
      <c r="H624">
        <v>776</v>
      </c>
      <c r="I624">
        <v>3.15</v>
      </c>
      <c r="J624">
        <v>111</v>
      </c>
      <c r="K624">
        <f t="shared" ca="1" si="648"/>
        <v>1251</v>
      </c>
      <c r="M624">
        <f t="shared" ca="1" si="649"/>
        <v>1251</v>
      </c>
      <c r="N624" t="str">
        <f t="shared" si="650"/>
        <v>Excellent</v>
      </c>
      <c r="O624" t="e">
        <f t="shared" si="651"/>
        <v>#N/A</v>
      </c>
      <c r="P624" t="str">
        <f t="shared" si="652"/>
        <v>NO</v>
      </c>
      <c r="Q624">
        <f t="shared" si="619"/>
        <v>411815</v>
      </c>
      <c r="R624" t="str">
        <f t="shared" si="653"/>
        <v>2023-2024</v>
      </c>
    </row>
    <row r="625" spans="1:18" hidden="1" x14ac:dyDescent="0.25">
      <c r="A625" t="s">
        <v>1534</v>
      </c>
      <c r="B625" t="s">
        <v>1535</v>
      </c>
      <c r="C625" t="s">
        <v>14</v>
      </c>
      <c r="D625" t="s">
        <v>3</v>
      </c>
      <c r="E625" t="s">
        <v>18</v>
      </c>
      <c r="F625" t="s">
        <v>11</v>
      </c>
      <c r="G625">
        <v>4517</v>
      </c>
      <c r="H625">
        <v>4565</v>
      </c>
      <c r="I625">
        <v>2.2999999999999998</v>
      </c>
      <c r="J625">
        <v>10</v>
      </c>
      <c r="Q625">
        <f t="shared" si="619"/>
        <v>411815</v>
      </c>
    </row>
    <row r="626" spans="1:18" x14ac:dyDescent="0.25">
      <c r="A626" t="s">
        <v>1536</v>
      </c>
      <c r="B626" t="s">
        <v>1537</v>
      </c>
      <c r="C626" t="s">
        <v>32</v>
      </c>
      <c r="D626" t="s">
        <v>9</v>
      </c>
      <c r="E626" t="s">
        <v>1301</v>
      </c>
      <c r="F626" t="s">
        <v>5</v>
      </c>
      <c r="G626">
        <v>13029</v>
      </c>
      <c r="H626">
        <v>8730</v>
      </c>
      <c r="I626">
        <v>3.5</v>
      </c>
      <c r="J626">
        <v>38</v>
      </c>
      <c r="K626">
        <f t="shared" ref="K626" ca="1" si="654">IF(F626="Enrolled", TODAY()-E626, "")</f>
        <v>509</v>
      </c>
      <c r="M626">
        <f ca="1">IF(F626="Enrolled",TODAY() - E626,"")</f>
        <v>509</v>
      </c>
      <c r="N626" t="str">
        <f>IF(I628&gt;=3.5,"Excellent",IF(I628&gt;=3,"Good",IF(I628&gt;=2,"Average","Poor")))</f>
        <v>Average</v>
      </c>
      <c r="O626" t="e">
        <f>VLOOKUP(D626, $T$18:$U$23, 2, FALSE)</f>
        <v>#N/A</v>
      </c>
      <c r="P626" t="str">
        <f t="shared" ref="P626" si="655">IF(H626 &gt; 0.5 * G626, "YES", "NO")</f>
        <v>YES</v>
      </c>
      <c r="Q626">
        <f t="shared" si="619"/>
        <v>411815</v>
      </c>
      <c r="R626" t="str">
        <f>IF(MONTH(E620)&gt;=6, YEAR(E620) &amp; "-" &amp; YEAR(E620)+1, YEAR(E620)-1 &amp; "-" &amp; YEAR(E620))</f>
        <v>2023-2024</v>
      </c>
    </row>
    <row r="627" spans="1:18" hidden="1" x14ac:dyDescent="0.25">
      <c r="A627" t="s">
        <v>1538</v>
      </c>
      <c r="B627" t="s">
        <v>1539</v>
      </c>
      <c r="C627" t="s">
        <v>21</v>
      </c>
      <c r="D627" t="s">
        <v>65</v>
      </c>
      <c r="E627" s="1">
        <v>45082</v>
      </c>
      <c r="F627" t="s">
        <v>11</v>
      </c>
      <c r="G627">
        <v>10361</v>
      </c>
      <c r="H627">
        <v>8648</v>
      </c>
      <c r="I627">
        <v>2.52</v>
      </c>
      <c r="J627">
        <v>19</v>
      </c>
      <c r="Q627">
        <f t="shared" si="619"/>
        <v>411815</v>
      </c>
    </row>
    <row r="628" spans="1:18" x14ac:dyDescent="0.25">
      <c r="A628" t="s">
        <v>1540</v>
      </c>
      <c r="B628" t="s">
        <v>1541</v>
      </c>
      <c r="C628" t="s">
        <v>55</v>
      </c>
      <c r="D628" t="s">
        <v>25</v>
      </c>
      <c r="E628" t="s">
        <v>1542</v>
      </c>
      <c r="F628" t="s">
        <v>5</v>
      </c>
      <c r="G628">
        <v>9360</v>
      </c>
      <c r="H628">
        <v>9308</v>
      </c>
      <c r="I628">
        <v>2.3199999999999998</v>
      </c>
      <c r="J628">
        <v>114</v>
      </c>
      <c r="K628">
        <f t="shared" ref="K628" ca="1" si="656">IF(F628="Enrolled", TODAY()-E628, "")</f>
        <v>866</v>
      </c>
      <c r="M628">
        <f ca="1">IF(F628="Enrolled",TODAY() - E628,"")</f>
        <v>866</v>
      </c>
      <c r="N628" t="str">
        <f>IF(I630&gt;=3.5,"Excellent",IF(I630&gt;=3,"Good",IF(I630&gt;=2,"Average","Poor")))</f>
        <v>Good</v>
      </c>
      <c r="O628" t="e">
        <f>VLOOKUP(D628, $T$18:$U$23, 2, FALSE)</f>
        <v>#N/A</v>
      </c>
      <c r="P628" t="str">
        <f t="shared" ref="P628" si="657">IF(H628 &gt; 0.5 * G628, "YES", "NO")</f>
        <v>YES</v>
      </c>
      <c r="Q628">
        <f t="shared" si="619"/>
        <v>411815</v>
      </c>
      <c r="R628" t="str">
        <f>IF(MONTH(E622)&gt;=6, YEAR(E622) &amp; "-" &amp; YEAR(E622)+1, YEAR(E622)-1 &amp; "-" &amp; YEAR(E622))</f>
        <v>2023-2024</v>
      </c>
    </row>
    <row r="629" spans="1:18" hidden="1" x14ac:dyDescent="0.25">
      <c r="A629" t="s">
        <v>1543</v>
      </c>
      <c r="B629" t="s">
        <v>1544</v>
      </c>
      <c r="C629" t="s">
        <v>21</v>
      </c>
      <c r="D629" t="s">
        <v>25</v>
      </c>
      <c r="E629" t="s">
        <v>1545</v>
      </c>
      <c r="F629" t="s">
        <v>11</v>
      </c>
      <c r="G629">
        <v>8250</v>
      </c>
      <c r="H629">
        <v>77</v>
      </c>
      <c r="I629">
        <v>3.47</v>
      </c>
      <c r="J629">
        <v>98</v>
      </c>
      <c r="Q629">
        <f t="shared" si="619"/>
        <v>411815</v>
      </c>
    </row>
    <row r="630" spans="1:18" x14ac:dyDescent="0.25">
      <c r="A630" t="s">
        <v>1546</v>
      </c>
      <c r="B630" t="s">
        <v>1547</v>
      </c>
      <c r="C630" t="s">
        <v>21</v>
      </c>
      <c r="D630" t="s">
        <v>9</v>
      </c>
      <c r="E630" t="s">
        <v>1548</v>
      </c>
      <c r="F630" t="s">
        <v>5</v>
      </c>
      <c r="G630">
        <v>6986</v>
      </c>
      <c r="H630">
        <v>1773</v>
      </c>
      <c r="I630">
        <v>3.12</v>
      </c>
      <c r="J630">
        <v>106</v>
      </c>
      <c r="K630">
        <f t="shared" ref="K630" ca="1" si="658">IF(F630="Enrolled", TODAY()-E630, "")</f>
        <v>921</v>
      </c>
      <c r="M630">
        <f ca="1">IF(F630="Enrolled",TODAY() - E630,"")</f>
        <v>921</v>
      </c>
      <c r="N630" t="str">
        <f>IF(I632&gt;=3.5,"Excellent",IF(I632&gt;=3,"Good",IF(I632&gt;=2,"Average","Poor")))</f>
        <v>Average</v>
      </c>
      <c r="O630" t="e">
        <f>VLOOKUP(D630, $T$18:$U$23, 2, FALSE)</f>
        <v>#N/A</v>
      </c>
      <c r="P630" t="str">
        <f t="shared" ref="P630" si="659">IF(H630 &gt; 0.5 * G630, "YES", "NO")</f>
        <v>NO</v>
      </c>
      <c r="Q630">
        <f t="shared" si="619"/>
        <v>411815</v>
      </c>
      <c r="R630" t="str">
        <f>IF(MONTH(E624)&gt;=6, YEAR(E624) &amp; "-" &amp; YEAR(E624)+1, YEAR(E624)-1 &amp; "-" &amp; YEAR(E624))</f>
        <v>2022-2023</v>
      </c>
    </row>
    <row r="631" spans="1:18" hidden="1" x14ac:dyDescent="0.25">
      <c r="A631" t="s">
        <v>1549</v>
      </c>
      <c r="B631" t="s">
        <v>1550</v>
      </c>
      <c r="C631" t="s">
        <v>32</v>
      </c>
      <c r="D631" t="s">
        <v>9</v>
      </c>
      <c r="E631" s="1">
        <v>44927</v>
      </c>
      <c r="F631" t="s">
        <v>11</v>
      </c>
      <c r="G631">
        <v>14012</v>
      </c>
      <c r="H631">
        <v>7567</v>
      </c>
      <c r="I631">
        <v>2.29</v>
      </c>
      <c r="J631">
        <v>86</v>
      </c>
      <c r="Q631">
        <f t="shared" si="619"/>
        <v>411815</v>
      </c>
    </row>
    <row r="632" spans="1:18" x14ac:dyDescent="0.25">
      <c r="A632" t="s">
        <v>1551</v>
      </c>
      <c r="B632" t="s">
        <v>1552</v>
      </c>
      <c r="C632" t="s">
        <v>32</v>
      </c>
      <c r="D632" t="s">
        <v>3</v>
      </c>
      <c r="E632" t="s">
        <v>120</v>
      </c>
      <c r="F632" t="s">
        <v>5</v>
      </c>
      <c r="G632">
        <v>6769</v>
      </c>
      <c r="H632">
        <v>2409</v>
      </c>
      <c r="I632">
        <v>2.2999999999999998</v>
      </c>
      <c r="J632">
        <v>57</v>
      </c>
      <c r="K632">
        <f t="shared" ref="K632:K633" ca="1" si="660">IF(F632="Enrolled", TODAY()-E632, "")</f>
        <v>988</v>
      </c>
      <c r="M632">
        <f t="shared" ref="M632:M633" ca="1" si="661">IF(F632="Enrolled",TODAY() - E632,"")</f>
        <v>988</v>
      </c>
      <c r="N632" t="str">
        <f t="shared" ref="N632:N633" si="662">IF(I634&gt;=3.5,"Excellent",IF(I634&gt;=3,"Good",IF(I634&gt;=2,"Average","Poor")))</f>
        <v>Average</v>
      </c>
      <c r="O632" t="e">
        <f t="shared" ref="O632:O633" si="663">VLOOKUP(D632, $T$18:$U$23, 2, FALSE)</f>
        <v>#N/A</v>
      </c>
      <c r="P632" t="str">
        <f t="shared" ref="P632:P633" si="664">IF(H632 &gt; 0.5 * G632, "YES", "NO")</f>
        <v>NO</v>
      </c>
      <c r="Q632">
        <f t="shared" si="619"/>
        <v>397803</v>
      </c>
      <c r="R632" t="str">
        <f t="shared" ref="R632:R633" si="665">IF(MONTH(E626)&gt;=6, YEAR(E626) &amp; "-" &amp; YEAR(E626)+1, YEAR(E626)-1 &amp; "-" &amp; YEAR(E626))</f>
        <v>2024-2025</v>
      </c>
    </row>
    <row r="633" spans="1:18" x14ac:dyDescent="0.25">
      <c r="A633" t="s">
        <v>1553</v>
      </c>
      <c r="B633" t="s">
        <v>1554</v>
      </c>
      <c r="C633" t="s">
        <v>8</v>
      </c>
      <c r="D633" t="s">
        <v>3</v>
      </c>
      <c r="E633" s="1">
        <v>45571</v>
      </c>
      <c r="F633" t="s">
        <v>5</v>
      </c>
      <c r="G633">
        <v>3621</v>
      </c>
      <c r="H633">
        <v>3198</v>
      </c>
      <c r="I633">
        <v>3.45</v>
      </c>
      <c r="J633">
        <v>16</v>
      </c>
      <c r="K633">
        <f t="shared" ca="1" si="660"/>
        <v>396</v>
      </c>
      <c r="M633">
        <f t="shared" ca="1" si="661"/>
        <v>396</v>
      </c>
      <c r="N633" t="str">
        <f t="shared" si="662"/>
        <v>Good</v>
      </c>
      <c r="O633" t="e">
        <f t="shared" si="663"/>
        <v>#N/A</v>
      </c>
      <c r="P633" t="str">
        <f t="shared" si="664"/>
        <v>YES</v>
      </c>
      <c r="Q633">
        <f t="shared" si="619"/>
        <v>397803</v>
      </c>
      <c r="R633" t="str">
        <f t="shared" si="665"/>
        <v>2023-2024</v>
      </c>
    </row>
    <row r="634" spans="1:18" hidden="1" x14ac:dyDescent="0.25">
      <c r="A634" t="s">
        <v>1555</v>
      </c>
      <c r="B634" t="s">
        <v>1556</v>
      </c>
      <c r="C634" t="s">
        <v>55</v>
      </c>
      <c r="D634" t="s">
        <v>25</v>
      </c>
      <c r="E634" t="s">
        <v>1557</v>
      </c>
      <c r="F634" t="s">
        <v>36</v>
      </c>
      <c r="G634">
        <v>14499</v>
      </c>
      <c r="H634">
        <v>2164</v>
      </c>
      <c r="I634">
        <v>2.4</v>
      </c>
      <c r="J634">
        <v>21</v>
      </c>
      <c r="Q634">
        <f t="shared" si="619"/>
        <v>397803</v>
      </c>
    </row>
    <row r="635" spans="1:18" x14ac:dyDescent="0.25">
      <c r="A635" t="s">
        <v>1558</v>
      </c>
      <c r="B635" t="s">
        <v>1559</v>
      </c>
      <c r="C635" t="s">
        <v>8</v>
      </c>
      <c r="D635" t="s">
        <v>65</v>
      </c>
      <c r="E635" t="s">
        <v>1560</v>
      </c>
      <c r="F635" t="s">
        <v>5</v>
      </c>
      <c r="G635">
        <v>4859</v>
      </c>
      <c r="H635">
        <v>250</v>
      </c>
      <c r="I635">
        <v>3.26</v>
      </c>
      <c r="J635">
        <v>99</v>
      </c>
      <c r="K635">
        <f t="shared" ref="K635" ca="1" si="666">IF(F635="Enrolled", TODAY()-E635, "")</f>
        <v>871</v>
      </c>
      <c r="M635">
        <f ca="1">IF(F635="Enrolled",TODAY() - E635,"")</f>
        <v>871</v>
      </c>
      <c r="N635" t="str">
        <f>IF(I637&gt;=3.5,"Excellent",IF(I637&gt;=3,"Good",IF(I637&gt;=2,"Average","Poor")))</f>
        <v>Good</v>
      </c>
      <c r="O635" t="e">
        <f>VLOOKUP(D635, $T$18:$U$23, 2, FALSE)</f>
        <v>#N/A</v>
      </c>
      <c r="P635" t="str">
        <f t="shared" ref="P635" si="667">IF(H635 &gt; 0.5 * G635, "YES", "NO")</f>
        <v>NO</v>
      </c>
      <c r="Q635">
        <f t="shared" si="619"/>
        <v>397803</v>
      </c>
      <c r="R635" t="str">
        <f>IF(MONTH(E629)&gt;=6, YEAR(E629) &amp; "-" &amp; YEAR(E629)+1, YEAR(E629)-1 &amp; "-" &amp; YEAR(E629))</f>
        <v>2023-2024</v>
      </c>
    </row>
    <row r="636" spans="1:18" hidden="1" x14ac:dyDescent="0.25">
      <c r="A636" t="s">
        <v>1561</v>
      </c>
      <c r="B636" t="s">
        <v>1562</v>
      </c>
      <c r="C636" t="s">
        <v>21</v>
      </c>
      <c r="D636" t="s">
        <v>3</v>
      </c>
      <c r="E636" t="s">
        <v>1563</v>
      </c>
      <c r="F636" t="s">
        <v>11</v>
      </c>
      <c r="G636">
        <v>3080</v>
      </c>
      <c r="H636">
        <v>9821</v>
      </c>
      <c r="I636">
        <v>2.33</v>
      </c>
      <c r="J636">
        <v>94</v>
      </c>
      <c r="Q636">
        <f t="shared" si="619"/>
        <v>397803</v>
      </c>
    </row>
    <row r="637" spans="1:18" hidden="1" x14ac:dyDescent="0.25">
      <c r="A637" t="s">
        <v>1564</v>
      </c>
      <c r="B637" t="s">
        <v>1565</v>
      </c>
      <c r="C637" t="s">
        <v>55</v>
      </c>
      <c r="D637" t="s">
        <v>25</v>
      </c>
      <c r="E637" s="1">
        <v>45108</v>
      </c>
      <c r="F637" t="s">
        <v>11</v>
      </c>
      <c r="G637">
        <v>10910</v>
      </c>
      <c r="H637">
        <v>3649</v>
      </c>
      <c r="I637">
        <v>3.02</v>
      </c>
      <c r="J637">
        <v>70</v>
      </c>
      <c r="Q637">
        <f t="shared" si="619"/>
        <v>397803</v>
      </c>
    </row>
    <row r="638" spans="1:18" x14ac:dyDescent="0.25">
      <c r="A638" t="s">
        <v>1566</v>
      </c>
      <c r="B638" t="s">
        <v>1567</v>
      </c>
      <c r="C638" t="s">
        <v>21</v>
      </c>
      <c r="D638" t="s">
        <v>3</v>
      </c>
      <c r="E638" t="s">
        <v>237</v>
      </c>
      <c r="F638" t="s">
        <v>5</v>
      </c>
      <c r="G638">
        <v>12516</v>
      </c>
      <c r="H638">
        <v>1881</v>
      </c>
      <c r="I638">
        <v>3.86</v>
      </c>
      <c r="J638">
        <v>98</v>
      </c>
      <c r="K638">
        <f t="shared" ref="K638:K639" ca="1" si="668">IF(F638="Enrolled", TODAY()-E638, "")</f>
        <v>1073</v>
      </c>
      <c r="M638">
        <f t="shared" ref="M638:M639" ca="1" si="669">IF(F638="Enrolled",TODAY() - E638,"")</f>
        <v>1073</v>
      </c>
      <c r="N638" t="str">
        <f t="shared" ref="N638:N639" si="670">IF(I640&gt;=3.5,"Excellent",IF(I640&gt;=3,"Good",IF(I640&gt;=2,"Average","Poor")))</f>
        <v>Average</v>
      </c>
      <c r="O638" t="e">
        <f t="shared" ref="O638:O639" si="671">VLOOKUP(D638, $T$18:$U$23, 2, FALSE)</f>
        <v>#N/A</v>
      </c>
      <c r="P638" t="str">
        <f t="shared" ref="P638:P639" si="672">IF(H638 &gt; 0.5 * G638, "YES", "NO")</f>
        <v>NO</v>
      </c>
      <c r="Q638">
        <f t="shared" si="619"/>
        <v>397803</v>
      </c>
      <c r="R638" t="str">
        <f t="shared" ref="R638:R639" si="673">IF(MONTH(E632)&gt;=6, YEAR(E632) &amp; "-" &amp; YEAR(E632)+1, YEAR(E632)-1 &amp; "-" &amp; YEAR(E632))</f>
        <v>2022-2023</v>
      </c>
    </row>
    <row r="639" spans="1:18" x14ac:dyDescent="0.25">
      <c r="A639" t="s">
        <v>1568</v>
      </c>
      <c r="B639" t="s">
        <v>1569</v>
      </c>
      <c r="C639" t="s">
        <v>21</v>
      </c>
      <c r="D639" t="s">
        <v>25</v>
      </c>
      <c r="E639" t="s">
        <v>1570</v>
      </c>
      <c r="F639" t="s">
        <v>5</v>
      </c>
      <c r="G639">
        <v>3587</v>
      </c>
      <c r="H639">
        <v>9014</v>
      </c>
      <c r="I639">
        <v>2.34</v>
      </c>
      <c r="J639">
        <v>57</v>
      </c>
      <c r="K639">
        <f t="shared" ca="1" si="668"/>
        <v>743</v>
      </c>
      <c r="M639">
        <f t="shared" ca="1" si="669"/>
        <v>743</v>
      </c>
      <c r="N639" t="str">
        <f t="shared" si="670"/>
        <v>Average</v>
      </c>
      <c r="O639" t="e">
        <f t="shared" si="671"/>
        <v>#N/A</v>
      </c>
      <c r="P639" t="str">
        <f t="shared" si="672"/>
        <v>YES</v>
      </c>
      <c r="Q639">
        <f t="shared" si="619"/>
        <v>397803</v>
      </c>
      <c r="R639" t="str">
        <f t="shared" si="673"/>
        <v>2024-2025</v>
      </c>
    </row>
    <row r="640" spans="1:18" hidden="1" x14ac:dyDescent="0.25">
      <c r="A640" t="s">
        <v>1571</v>
      </c>
      <c r="B640" t="s">
        <v>1572</v>
      </c>
      <c r="C640" t="s">
        <v>55</v>
      </c>
      <c r="D640" t="s">
        <v>65</v>
      </c>
      <c r="E640" t="s">
        <v>1573</v>
      </c>
      <c r="F640" t="s">
        <v>11</v>
      </c>
      <c r="G640">
        <v>13307</v>
      </c>
      <c r="H640">
        <v>66</v>
      </c>
      <c r="I640">
        <v>2.4900000000000002</v>
      </c>
      <c r="J640">
        <v>99</v>
      </c>
      <c r="Q640">
        <f t="shared" si="619"/>
        <v>397803</v>
      </c>
    </row>
    <row r="641" spans="1:18" hidden="1" x14ac:dyDescent="0.25">
      <c r="A641" t="s">
        <v>1574</v>
      </c>
      <c r="B641" t="s">
        <v>1575</v>
      </c>
      <c r="C641" t="s">
        <v>32</v>
      </c>
      <c r="D641" t="s">
        <v>9</v>
      </c>
      <c r="E641" t="s">
        <v>1576</v>
      </c>
      <c r="F641" t="s">
        <v>11</v>
      </c>
      <c r="G641">
        <v>4132</v>
      </c>
      <c r="H641">
        <v>6404</v>
      </c>
      <c r="I641">
        <v>2.63</v>
      </c>
      <c r="J641">
        <v>114</v>
      </c>
      <c r="Q641">
        <f t="shared" si="619"/>
        <v>397803</v>
      </c>
    </row>
    <row r="642" spans="1:18" x14ac:dyDescent="0.25">
      <c r="A642" t="s">
        <v>1577</v>
      </c>
      <c r="B642" t="s">
        <v>1578</v>
      </c>
      <c r="C642" t="s">
        <v>55</v>
      </c>
      <c r="D642" t="s">
        <v>9</v>
      </c>
      <c r="E642" s="1">
        <v>44900</v>
      </c>
      <c r="F642" t="s">
        <v>5</v>
      </c>
      <c r="G642">
        <v>5391</v>
      </c>
      <c r="H642">
        <v>7710</v>
      </c>
      <c r="I642">
        <v>3.61</v>
      </c>
      <c r="J642">
        <v>37</v>
      </c>
      <c r="K642">
        <f t="shared" ref="K642" ca="1" si="674">IF(F642="Enrolled", TODAY()-E642, "")</f>
        <v>1067</v>
      </c>
      <c r="M642">
        <f ca="1">IF(F642="Enrolled",TODAY() - E642,"")</f>
        <v>1067</v>
      </c>
      <c r="N642" t="str">
        <f>IF(I644&gt;=3.5,"Excellent",IF(I644&gt;=3,"Good",IF(I644&gt;=2,"Average","Poor")))</f>
        <v>Average</v>
      </c>
      <c r="O642" t="e">
        <f>VLOOKUP(D642, $T$18:$U$23, 2, FALSE)</f>
        <v>#N/A</v>
      </c>
      <c r="P642" t="str">
        <f t="shared" ref="P642" si="675">IF(H642 &gt; 0.5 * G642, "YES", "NO")</f>
        <v>YES</v>
      </c>
      <c r="Q642">
        <f t="shared" si="619"/>
        <v>393671</v>
      </c>
      <c r="R642" t="str">
        <f>IF(MONTH(E636)&gt;=6, YEAR(E636) &amp; "-" &amp; YEAR(E636)+1, YEAR(E636)-1 &amp; "-" &amp; YEAR(E636))</f>
        <v>2022-2023</v>
      </c>
    </row>
    <row r="643" spans="1:18" hidden="1" x14ac:dyDescent="0.25">
      <c r="A643" t="s">
        <v>1579</v>
      </c>
      <c r="B643" t="s">
        <v>1580</v>
      </c>
      <c r="C643" t="s">
        <v>58</v>
      </c>
      <c r="D643" t="s">
        <v>9</v>
      </c>
      <c r="E643" s="1">
        <v>44571</v>
      </c>
      <c r="F643" t="s">
        <v>11</v>
      </c>
      <c r="G643">
        <v>4790</v>
      </c>
      <c r="H643">
        <v>5633</v>
      </c>
      <c r="I643">
        <v>2.11</v>
      </c>
      <c r="J643">
        <v>52</v>
      </c>
      <c r="Q643">
        <f t="shared" si="619"/>
        <v>393671</v>
      </c>
    </row>
    <row r="644" spans="1:18" x14ac:dyDescent="0.25">
      <c r="A644" t="s">
        <v>1581</v>
      </c>
      <c r="B644" t="s">
        <v>1582</v>
      </c>
      <c r="C644" t="s">
        <v>32</v>
      </c>
      <c r="D644" t="s">
        <v>65</v>
      </c>
      <c r="E644" s="1">
        <v>44816</v>
      </c>
      <c r="F644" t="s">
        <v>5</v>
      </c>
      <c r="G644">
        <v>13302</v>
      </c>
      <c r="H644">
        <v>9211</v>
      </c>
      <c r="I644">
        <v>2.5</v>
      </c>
      <c r="J644">
        <v>98</v>
      </c>
      <c r="K644">
        <f t="shared" ref="K644:K647" ca="1" si="676">IF(F644="Enrolled", TODAY()-E644, "")</f>
        <v>1151</v>
      </c>
      <c r="M644">
        <f t="shared" ref="M644:M647" ca="1" si="677">IF(F644="Enrolled",TODAY() - E644,"")</f>
        <v>1151</v>
      </c>
      <c r="N644" t="str">
        <f t="shared" ref="N644:N647" si="678">IF(I646&gt;=3.5,"Excellent",IF(I646&gt;=3,"Good",IF(I646&gt;=2,"Average","Poor")))</f>
        <v>Good</v>
      </c>
      <c r="O644" t="e">
        <f t="shared" ref="O644:O647" si="679">VLOOKUP(D644, $T$18:$U$23, 2, FALSE)</f>
        <v>#N/A</v>
      </c>
      <c r="P644" t="str">
        <f t="shared" ref="P644:P647" si="680">IF(H644 &gt; 0.5 * G644, "YES", "NO")</f>
        <v>YES</v>
      </c>
      <c r="Q644">
        <f t="shared" si="619"/>
        <v>388881</v>
      </c>
      <c r="R644" t="str">
        <f t="shared" ref="R644:R647" si="681">IF(MONTH(E638)&gt;=6, YEAR(E638) &amp; "-" &amp; YEAR(E638)+1, YEAR(E638)-1 &amp; "-" &amp; YEAR(E638))</f>
        <v>2022-2023</v>
      </c>
    </row>
    <row r="645" spans="1:18" x14ac:dyDescent="0.25">
      <c r="A645" t="s">
        <v>1583</v>
      </c>
      <c r="B645" t="s">
        <v>1584</v>
      </c>
      <c r="C645" t="s">
        <v>55</v>
      </c>
      <c r="D645" t="s">
        <v>3</v>
      </c>
      <c r="E645" t="s">
        <v>1503</v>
      </c>
      <c r="F645" t="s">
        <v>5</v>
      </c>
      <c r="G645">
        <v>9424</v>
      </c>
      <c r="H645">
        <v>2947</v>
      </c>
      <c r="I645">
        <v>2.5</v>
      </c>
      <c r="J645">
        <v>86</v>
      </c>
      <c r="K645">
        <f t="shared" ca="1" si="676"/>
        <v>532</v>
      </c>
      <c r="M645">
        <f t="shared" ca="1" si="677"/>
        <v>532</v>
      </c>
      <c r="N645" t="str">
        <f t="shared" si="678"/>
        <v>Excellent</v>
      </c>
      <c r="O645" t="e">
        <f t="shared" si="679"/>
        <v>#N/A</v>
      </c>
      <c r="P645" t="str">
        <f t="shared" si="680"/>
        <v>NO</v>
      </c>
      <c r="Q645">
        <f t="shared" si="619"/>
        <v>388881</v>
      </c>
      <c r="R645" t="str">
        <f t="shared" si="681"/>
        <v>2023-2024</v>
      </c>
    </row>
    <row r="646" spans="1:18" x14ac:dyDescent="0.25">
      <c r="A646" t="s">
        <v>1585</v>
      </c>
      <c r="B646" t="s">
        <v>1586</v>
      </c>
      <c r="C646" t="s">
        <v>2</v>
      </c>
      <c r="D646" t="s">
        <v>25</v>
      </c>
      <c r="E646" s="1">
        <v>45110</v>
      </c>
      <c r="F646" t="s">
        <v>5</v>
      </c>
      <c r="G646">
        <v>13660</v>
      </c>
      <c r="H646">
        <v>1268</v>
      </c>
      <c r="I646">
        <v>3.06</v>
      </c>
      <c r="J646">
        <v>98</v>
      </c>
      <c r="K646">
        <f t="shared" ca="1" si="676"/>
        <v>857</v>
      </c>
      <c r="M646">
        <f t="shared" ca="1" si="677"/>
        <v>857</v>
      </c>
      <c r="N646" t="str">
        <f t="shared" si="678"/>
        <v>Average</v>
      </c>
      <c r="O646" t="e">
        <f t="shared" si="679"/>
        <v>#N/A</v>
      </c>
      <c r="P646" t="str">
        <f t="shared" si="680"/>
        <v>NO</v>
      </c>
      <c r="Q646">
        <f t="shared" si="619"/>
        <v>388881</v>
      </c>
      <c r="R646" t="str">
        <f t="shared" si="681"/>
        <v>2023-2024</v>
      </c>
    </row>
    <row r="647" spans="1:18" x14ac:dyDescent="0.25">
      <c r="A647" t="s">
        <v>1587</v>
      </c>
      <c r="B647" t="s">
        <v>1588</v>
      </c>
      <c r="C647" t="s">
        <v>8</v>
      </c>
      <c r="D647" t="s">
        <v>9</v>
      </c>
      <c r="E647" t="s">
        <v>494</v>
      </c>
      <c r="F647" t="s">
        <v>5</v>
      </c>
      <c r="G647">
        <v>2789</v>
      </c>
      <c r="H647">
        <v>469</v>
      </c>
      <c r="I647">
        <v>3.93</v>
      </c>
      <c r="J647">
        <v>22</v>
      </c>
      <c r="K647">
        <f t="shared" ca="1" si="676"/>
        <v>929</v>
      </c>
      <c r="M647">
        <f t="shared" ca="1" si="677"/>
        <v>929</v>
      </c>
      <c r="N647" t="str">
        <f t="shared" si="678"/>
        <v>Average</v>
      </c>
      <c r="O647" t="e">
        <f t="shared" si="679"/>
        <v>#N/A</v>
      </c>
      <c r="P647" t="str">
        <f t="shared" si="680"/>
        <v>NO</v>
      </c>
      <c r="Q647">
        <f t="shared" si="619"/>
        <v>388881</v>
      </c>
      <c r="R647" t="str">
        <f t="shared" si="681"/>
        <v>2022-2023</v>
      </c>
    </row>
    <row r="648" spans="1:18" hidden="1" x14ac:dyDescent="0.25">
      <c r="A648" t="s">
        <v>1589</v>
      </c>
      <c r="B648" t="s">
        <v>1590</v>
      </c>
      <c r="C648" t="s">
        <v>55</v>
      </c>
      <c r="D648" t="s">
        <v>65</v>
      </c>
      <c r="E648" s="1">
        <v>44718</v>
      </c>
      <c r="F648" t="s">
        <v>11</v>
      </c>
      <c r="G648">
        <v>14573</v>
      </c>
      <c r="H648">
        <v>2083</v>
      </c>
      <c r="I648">
        <v>2.67</v>
      </c>
      <c r="J648">
        <v>115</v>
      </c>
      <c r="Q648">
        <f t="shared" si="619"/>
        <v>388881</v>
      </c>
    </row>
    <row r="649" spans="1:18" x14ac:dyDescent="0.25">
      <c r="A649" t="s">
        <v>1591</v>
      </c>
      <c r="B649" t="s">
        <v>1592</v>
      </c>
      <c r="C649" t="s">
        <v>14</v>
      </c>
      <c r="D649" t="s">
        <v>25</v>
      </c>
      <c r="E649" s="1">
        <v>44684</v>
      </c>
      <c r="F649" t="s">
        <v>5</v>
      </c>
      <c r="G649">
        <v>4580</v>
      </c>
      <c r="H649">
        <v>2043</v>
      </c>
      <c r="I649">
        <v>2.02</v>
      </c>
      <c r="J649">
        <v>100</v>
      </c>
      <c r="K649">
        <f t="shared" ref="K649:K650" ca="1" si="682">IF(F649="Enrolled", TODAY()-E649, "")</f>
        <v>1283</v>
      </c>
      <c r="M649">
        <f t="shared" ref="M649:M650" ca="1" si="683">IF(F649="Enrolled",TODAY() - E649,"")</f>
        <v>1283</v>
      </c>
      <c r="N649" t="str">
        <f t="shared" ref="N649:N650" si="684">IF(I651&gt;=3.5,"Excellent",IF(I651&gt;=3,"Good",IF(I651&gt;=2,"Average","Poor")))</f>
        <v>Excellent</v>
      </c>
      <c r="O649" t="e">
        <f t="shared" ref="O649:O650" si="685">VLOOKUP(D649, $T$18:$U$23, 2, FALSE)</f>
        <v>#N/A</v>
      </c>
      <c r="P649" t="str">
        <f t="shared" ref="P649:P650" si="686">IF(H649 &gt; 0.5 * G649, "YES", "NO")</f>
        <v>NO</v>
      </c>
      <c r="Q649">
        <f t="shared" si="619"/>
        <v>388881</v>
      </c>
      <c r="R649" t="str">
        <f t="shared" ref="R649:R650" si="687">IF(MONTH(E643)&gt;=6, YEAR(E643) &amp; "-" &amp; YEAR(E643)+1, YEAR(E643)-1 &amp; "-" &amp; YEAR(E643))</f>
        <v>2021-2022</v>
      </c>
    </row>
    <row r="650" spans="1:18" x14ac:dyDescent="0.25">
      <c r="A650" t="s">
        <v>1593</v>
      </c>
      <c r="B650" t="s">
        <v>1594</v>
      </c>
      <c r="C650" t="s">
        <v>55</v>
      </c>
      <c r="D650" t="s">
        <v>3</v>
      </c>
      <c r="E650" t="s">
        <v>1467</v>
      </c>
      <c r="F650" t="s">
        <v>5</v>
      </c>
      <c r="G650">
        <v>8254</v>
      </c>
      <c r="H650">
        <v>4272</v>
      </c>
      <c r="I650">
        <v>2.2599999999999998</v>
      </c>
      <c r="J650">
        <v>5</v>
      </c>
      <c r="K650">
        <f t="shared" ca="1" si="682"/>
        <v>1227</v>
      </c>
      <c r="M650">
        <f t="shared" ca="1" si="683"/>
        <v>1227</v>
      </c>
      <c r="N650" t="str">
        <f t="shared" si="684"/>
        <v>Good</v>
      </c>
      <c r="O650" t="e">
        <f t="shared" si="685"/>
        <v>#N/A</v>
      </c>
      <c r="P650" t="str">
        <f t="shared" si="686"/>
        <v>YES</v>
      </c>
      <c r="Q650">
        <f t="shared" si="619"/>
        <v>388881</v>
      </c>
      <c r="R650" t="str">
        <f t="shared" si="687"/>
        <v>2022-2023</v>
      </c>
    </row>
    <row r="651" spans="1:18" hidden="1" x14ac:dyDescent="0.25">
      <c r="A651" t="s">
        <v>1595</v>
      </c>
      <c r="B651" t="s">
        <v>1596</v>
      </c>
      <c r="C651" t="s">
        <v>21</v>
      </c>
      <c r="D651" t="s">
        <v>9</v>
      </c>
      <c r="E651" s="1">
        <v>45261</v>
      </c>
      <c r="F651" t="s">
        <v>36</v>
      </c>
      <c r="G651">
        <v>5234</v>
      </c>
      <c r="H651">
        <v>134</v>
      </c>
      <c r="I651">
        <v>3.59</v>
      </c>
      <c r="J651">
        <v>100</v>
      </c>
      <c r="Q651">
        <f t="shared" si="619"/>
        <v>388881</v>
      </c>
    </row>
    <row r="652" spans="1:18" x14ac:dyDescent="0.25">
      <c r="A652" t="s">
        <v>1597</v>
      </c>
      <c r="B652" t="s">
        <v>1598</v>
      </c>
      <c r="C652" t="s">
        <v>17</v>
      </c>
      <c r="D652" t="s">
        <v>25</v>
      </c>
      <c r="E652" t="s">
        <v>1020</v>
      </c>
      <c r="F652" t="s">
        <v>5</v>
      </c>
      <c r="G652">
        <v>5237</v>
      </c>
      <c r="H652">
        <v>5339</v>
      </c>
      <c r="I652">
        <v>3.07</v>
      </c>
      <c r="J652">
        <v>65</v>
      </c>
      <c r="K652">
        <f t="shared" ref="K652" ca="1" si="688">IF(F652="Enrolled", TODAY()-E652, "")</f>
        <v>1051</v>
      </c>
      <c r="M652">
        <f ca="1">IF(F652="Enrolled",TODAY() - E652,"")</f>
        <v>1051</v>
      </c>
      <c r="N652" t="str">
        <f>IF(I654&gt;=3.5,"Excellent",IF(I654&gt;=3,"Good",IF(I654&gt;=2,"Average","Poor")))</f>
        <v>Good</v>
      </c>
      <c r="O652" t="e">
        <f>VLOOKUP(D652, $T$18:$U$23, 2, FALSE)</f>
        <v>#N/A</v>
      </c>
      <c r="P652" t="str">
        <f t="shared" ref="P652" si="689">IF(H652 &gt; 0.5 * G652, "YES", "NO")</f>
        <v>YES</v>
      </c>
      <c r="Q652">
        <f t="shared" si="619"/>
        <v>388881</v>
      </c>
      <c r="R652" t="str">
        <f>IF(MONTH(E646)&gt;=6, YEAR(E646) &amp; "-" &amp; YEAR(E646)+1, YEAR(E646)-1 &amp; "-" &amp; YEAR(E646))</f>
        <v>2023-2024</v>
      </c>
    </row>
    <row r="653" spans="1:18" hidden="1" x14ac:dyDescent="0.25">
      <c r="A653" t="s">
        <v>1599</v>
      </c>
      <c r="B653" t="s">
        <v>1600</v>
      </c>
      <c r="C653" t="s">
        <v>55</v>
      </c>
      <c r="D653" t="s">
        <v>65</v>
      </c>
      <c r="E653" t="s">
        <v>949</v>
      </c>
      <c r="F653" t="s">
        <v>11</v>
      </c>
      <c r="G653">
        <v>6803</v>
      </c>
      <c r="H653">
        <v>5852</v>
      </c>
      <c r="I653">
        <v>2.89</v>
      </c>
      <c r="J653">
        <v>35</v>
      </c>
      <c r="Q653">
        <f t="shared" ref="Q653:Q716" si="690">SUMIFS(G653:G1851, F653:F1851, "Completed", D653:D1851, "Science")</f>
        <v>388881</v>
      </c>
    </row>
    <row r="654" spans="1:18" x14ac:dyDescent="0.25">
      <c r="A654" t="s">
        <v>1601</v>
      </c>
      <c r="B654" t="s">
        <v>1602</v>
      </c>
      <c r="C654" t="s">
        <v>8</v>
      </c>
      <c r="D654" t="s">
        <v>9</v>
      </c>
      <c r="E654" s="1">
        <v>44593</v>
      </c>
      <c r="F654" t="s">
        <v>5</v>
      </c>
      <c r="G654">
        <v>3355</v>
      </c>
      <c r="H654">
        <v>1493</v>
      </c>
      <c r="I654">
        <v>3.49</v>
      </c>
      <c r="J654">
        <v>102</v>
      </c>
      <c r="K654">
        <f t="shared" ref="K654" ca="1" si="691">IF(F654="Enrolled", TODAY()-E654, "")</f>
        <v>1374</v>
      </c>
      <c r="M654">
        <f ca="1">IF(F654="Enrolled",TODAY() - E654,"")</f>
        <v>1374</v>
      </c>
      <c r="N654" t="str">
        <f>IF(I656&gt;=3.5,"Excellent",IF(I656&gt;=3,"Good",IF(I656&gt;=2,"Average","Poor")))</f>
        <v>Average</v>
      </c>
      <c r="O654" t="e">
        <f>VLOOKUP(D654, $T$18:$U$23, 2, FALSE)</f>
        <v>#N/A</v>
      </c>
      <c r="P654" t="str">
        <f t="shared" ref="P654" si="692">IF(H654 &gt; 0.5 * G654, "YES", "NO")</f>
        <v>NO</v>
      </c>
      <c r="Q654">
        <f t="shared" si="690"/>
        <v>388881</v>
      </c>
      <c r="R654" t="str">
        <f>IF(MONTH(E648)&gt;=6, YEAR(E648) &amp; "-" &amp; YEAR(E648)+1, YEAR(E648)-1 &amp; "-" &amp; YEAR(E648))</f>
        <v>2022-2023</v>
      </c>
    </row>
    <row r="655" spans="1:18" hidden="1" x14ac:dyDescent="0.25">
      <c r="A655" t="s">
        <v>1603</v>
      </c>
      <c r="B655" t="s">
        <v>1604</v>
      </c>
      <c r="C655" t="s">
        <v>55</v>
      </c>
      <c r="D655" t="s">
        <v>9</v>
      </c>
      <c r="E655" t="s">
        <v>1605</v>
      </c>
      <c r="F655" t="s">
        <v>11</v>
      </c>
      <c r="G655">
        <v>13586</v>
      </c>
      <c r="H655">
        <v>6814</v>
      </c>
      <c r="I655">
        <v>2.67</v>
      </c>
      <c r="J655">
        <v>118</v>
      </c>
      <c r="Q655">
        <f t="shared" si="690"/>
        <v>388881</v>
      </c>
    </row>
    <row r="656" spans="1:18" x14ac:dyDescent="0.25">
      <c r="A656" t="s">
        <v>1606</v>
      </c>
      <c r="B656" t="s">
        <v>1607</v>
      </c>
      <c r="C656" t="s">
        <v>58</v>
      </c>
      <c r="D656" t="s">
        <v>25</v>
      </c>
      <c r="E656" t="s">
        <v>1608</v>
      </c>
      <c r="F656" t="s">
        <v>5</v>
      </c>
      <c r="G656">
        <v>7191</v>
      </c>
      <c r="H656">
        <v>5791</v>
      </c>
      <c r="I656">
        <v>2.06</v>
      </c>
      <c r="J656">
        <v>10</v>
      </c>
      <c r="K656">
        <f t="shared" ref="K656" ca="1" si="693">IF(F656="Enrolled", TODAY()-E656, "")</f>
        <v>833</v>
      </c>
      <c r="M656">
        <f ca="1">IF(F656="Enrolled",TODAY() - E656,"")</f>
        <v>833</v>
      </c>
      <c r="N656" t="str">
        <f>IF(I658&gt;=3.5,"Excellent",IF(I658&gt;=3,"Good",IF(I658&gt;=2,"Average","Poor")))</f>
        <v>Good</v>
      </c>
      <c r="O656" t="e">
        <f>VLOOKUP(D656, $T$18:$U$23, 2, FALSE)</f>
        <v>#N/A</v>
      </c>
      <c r="P656" t="str">
        <f t="shared" ref="P656" si="694">IF(H656 &gt; 0.5 * G656, "YES", "NO")</f>
        <v>YES</v>
      </c>
      <c r="Q656">
        <f t="shared" si="690"/>
        <v>375295</v>
      </c>
      <c r="R656" t="str">
        <f>IF(MONTH(E650)&gt;=6, YEAR(E650) &amp; "-" &amp; YEAR(E650)+1, YEAR(E650)-1 &amp; "-" &amp; YEAR(E650))</f>
        <v>2022-2023</v>
      </c>
    </row>
    <row r="657" spans="1:18" hidden="1" x14ac:dyDescent="0.25">
      <c r="A657" t="s">
        <v>1609</v>
      </c>
      <c r="B657" t="s">
        <v>1610</v>
      </c>
      <c r="C657" t="s">
        <v>32</v>
      </c>
      <c r="D657" t="s">
        <v>65</v>
      </c>
      <c r="E657" s="1">
        <v>45200</v>
      </c>
      <c r="F657" t="s">
        <v>11</v>
      </c>
      <c r="G657">
        <v>2088</v>
      </c>
      <c r="H657">
        <v>9067</v>
      </c>
      <c r="I657">
        <v>2.82</v>
      </c>
      <c r="J657">
        <v>48</v>
      </c>
      <c r="Q657">
        <f t="shared" si="690"/>
        <v>375295</v>
      </c>
    </row>
    <row r="658" spans="1:18" x14ac:dyDescent="0.25">
      <c r="A658" t="s">
        <v>1611</v>
      </c>
      <c r="B658" t="s">
        <v>1612</v>
      </c>
      <c r="C658" t="s">
        <v>8</v>
      </c>
      <c r="D658" t="s">
        <v>25</v>
      </c>
      <c r="E658" t="s">
        <v>1613</v>
      </c>
      <c r="F658" t="s">
        <v>5</v>
      </c>
      <c r="G658">
        <v>8068</v>
      </c>
      <c r="H658">
        <v>5741</v>
      </c>
      <c r="I658">
        <v>3.01</v>
      </c>
      <c r="J658">
        <v>13</v>
      </c>
      <c r="K658">
        <f t="shared" ref="K658:K660" ca="1" si="695">IF(F658="Enrolled", TODAY()-E658, "")</f>
        <v>536</v>
      </c>
      <c r="M658">
        <f t="shared" ref="M658:M660" ca="1" si="696">IF(F658="Enrolled",TODAY() - E658,"")</f>
        <v>536</v>
      </c>
      <c r="N658" t="str">
        <f t="shared" ref="N658:N660" si="697">IF(I660&gt;=3.5,"Excellent",IF(I660&gt;=3,"Good",IF(I660&gt;=2,"Average","Poor")))</f>
        <v>Average</v>
      </c>
      <c r="O658" t="e">
        <f t="shared" ref="O658:O660" si="698">VLOOKUP(D658, $T$18:$U$23, 2, FALSE)</f>
        <v>#N/A</v>
      </c>
      <c r="P658" t="str">
        <f t="shared" ref="P658:P660" si="699">IF(H658 &gt; 0.5 * G658, "YES", "NO")</f>
        <v>YES</v>
      </c>
      <c r="Q658">
        <f t="shared" si="690"/>
        <v>375295</v>
      </c>
      <c r="R658" t="str">
        <f t="shared" ref="R658:R660" si="700">IF(MONTH(E652)&gt;=6, YEAR(E652) &amp; "-" &amp; YEAR(E652)+1, YEAR(E652)-1 &amp; "-" &amp; YEAR(E652))</f>
        <v>2022-2023</v>
      </c>
    </row>
    <row r="659" spans="1:18" x14ac:dyDescent="0.25">
      <c r="A659" t="s">
        <v>1614</v>
      </c>
      <c r="B659" t="s">
        <v>1615</v>
      </c>
      <c r="C659" t="s">
        <v>8</v>
      </c>
      <c r="D659" t="s">
        <v>3</v>
      </c>
      <c r="E659" s="1">
        <v>45087</v>
      </c>
      <c r="F659" t="s">
        <v>5</v>
      </c>
      <c r="G659">
        <v>9351</v>
      </c>
      <c r="H659">
        <v>3044</v>
      </c>
      <c r="I659">
        <v>2.15</v>
      </c>
      <c r="J659">
        <v>0</v>
      </c>
      <c r="K659">
        <f t="shared" ca="1" si="695"/>
        <v>880</v>
      </c>
      <c r="M659">
        <f t="shared" ca="1" si="696"/>
        <v>880</v>
      </c>
      <c r="N659" t="str">
        <f t="shared" si="697"/>
        <v>Average</v>
      </c>
      <c r="O659" t="e">
        <f t="shared" si="698"/>
        <v>#N/A</v>
      </c>
      <c r="P659" t="str">
        <f t="shared" si="699"/>
        <v>NO</v>
      </c>
      <c r="Q659">
        <f t="shared" si="690"/>
        <v>375295</v>
      </c>
      <c r="R659" t="str">
        <f t="shared" si="700"/>
        <v>2022-2023</v>
      </c>
    </row>
    <row r="660" spans="1:18" x14ac:dyDescent="0.25">
      <c r="A660" t="s">
        <v>1616</v>
      </c>
      <c r="B660" t="s">
        <v>1617</v>
      </c>
      <c r="C660" t="s">
        <v>8</v>
      </c>
      <c r="D660" t="s">
        <v>9</v>
      </c>
      <c r="E660" t="s">
        <v>849</v>
      </c>
      <c r="F660" t="s">
        <v>5</v>
      </c>
      <c r="G660">
        <v>13082</v>
      </c>
      <c r="H660">
        <v>4263</v>
      </c>
      <c r="I660">
        <v>2.12</v>
      </c>
      <c r="J660">
        <v>80</v>
      </c>
      <c r="K660">
        <f t="shared" ca="1" si="695"/>
        <v>1360</v>
      </c>
      <c r="M660">
        <f t="shared" ca="1" si="696"/>
        <v>1360</v>
      </c>
      <c r="N660" t="str">
        <f t="shared" si="697"/>
        <v>Good</v>
      </c>
      <c r="O660" t="e">
        <f t="shared" si="698"/>
        <v>#N/A</v>
      </c>
      <c r="P660" t="str">
        <f t="shared" si="699"/>
        <v>NO</v>
      </c>
      <c r="Q660">
        <f t="shared" si="690"/>
        <v>375295</v>
      </c>
      <c r="R660" t="str">
        <f t="shared" si="700"/>
        <v>2021-2022</v>
      </c>
    </row>
    <row r="661" spans="1:18" hidden="1" x14ac:dyDescent="0.25">
      <c r="A661" t="s">
        <v>1618</v>
      </c>
      <c r="B661" t="s">
        <v>1619</v>
      </c>
      <c r="C661" t="s">
        <v>58</v>
      </c>
      <c r="D661" t="s">
        <v>65</v>
      </c>
      <c r="E661" t="s">
        <v>104</v>
      </c>
      <c r="F661" t="s">
        <v>36</v>
      </c>
      <c r="G661">
        <v>7721</v>
      </c>
      <c r="H661">
        <v>5545</v>
      </c>
      <c r="I661">
        <v>2.89</v>
      </c>
      <c r="J661">
        <v>18</v>
      </c>
      <c r="Q661">
        <f t="shared" si="690"/>
        <v>375295</v>
      </c>
    </row>
    <row r="662" spans="1:18" hidden="1" x14ac:dyDescent="0.25">
      <c r="A662" t="s">
        <v>1620</v>
      </c>
      <c r="B662" t="s">
        <v>1621</v>
      </c>
      <c r="C662" t="s">
        <v>58</v>
      </c>
      <c r="D662" t="s">
        <v>65</v>
      </c>
      <c r="E662" t="s">
        <v>244</v>
      </c>
      <c r="F662" t="s">
        <v>11</v>
      </c>
      <c r="G662">
        <v>10644</v>
      </c>
      <c r="H662">
        <v>3148</v>
      </c>
      <c r="I662">
        <v>3.04</v>
      </c>
      <c r="J662">
        <v>34</v>
      </c>
      <c r="Q662">
        <f t="shared" si="690"/>
        <v>375295</v>
      </c>
    </row>
    <row r="663" spans="1:18" x14ac:dyDescent="0.25">
      <c r="A663" t="s">
        <v>1622</v>
      </c>
      <c r="B663" t="s">
        <v>1623</v>
      </c>
      <c r="C663" t="s">
        <v>14</v>
      </c>
      <c r="D663" t="s">
        <v>9</v>
      </c>
      <c r="E663" t="s">
        <v>1034</v>
      </c>
      <c r="F663" t="s">
        <v>5</v>
      </c>
      <c r="G663">
        <v>10752</v>
      </c>
      <c r="H663">
        <v>6829</v>
      </c>
      <c r="I663">
        <v>2.9</v>
      </c>
      <c r="J663">
        <v>67</v>
      </c>
      <c r="K663">
        <f t="shared" ref="K663" ca="1" si="701">IF(F663="Enrolled", TODAY()-E663, "")</f>
        <v>768</v>
      </c>
      <c r="M663">
        <f ca="1">IF(F663="Enrolled",TODAY() - E663,"")</f>
        <v>768</v>
      </c>
      <c r="N663" t="str">
        <f>IF(I665&gt;=3.5,"Excellent",IF(I665&gt;=3,"Good",IF(I665&gt;=2,"Average","Poor")))</f>
        <v>Average</v>
      </c>
      <c r="O663" t="e">
        <f>VLOOKUP(D663, $T$18:$U$23, 2, FALSE)</f>
        <v>#N/A</v>
      </c>
      <c r="P663" t="str">
        <f t="shared" ref="P663" si="702">IF(H663 &gt; 0.5 * G663, "YES", "NO")</f>
        <v>YES</v>
      </c>
      <c r="Q663">
        <f t="shared" si="690"/>
        <v>375295</v>
      </c>
      <c r="R663" t="str">
        <f>IF(MONTH(E657)&gt;=6, YEAR(E657) &amp; "-" &amp; YEAR(E657)+1, YEAR(E657)-1 &amp; "-" &amp; YEAR(E657))</f>
        <v>2023-2024</v>
      </c>
    </row>
    <row r="664" spans="1:18" hidden="1" x14ac:dyDescent="0.25">
      <c r="A664" t="s">
        <v>1624</v>
      </c>
      <c r="B664" t="s">
        <v>1625</v>
      </c>
      <c r="C664" t="s">
        <v>8</v>
      </c>
      <c r="D664" t="s">
        <v>3</v>
      </c>
      <c r="E664" t="s">
        <v>1626</v>
      </c>
      <c r="F664" t="s">
        <v>11</v>
      </c>
      <c r="G664">
        <v>3252</v>
      </c>
      <c r="H664">
        <v>5292</v>
      </c>
      <c r="I664">
        <v>2.66</v>
      </c>
      <c r="J664">
        <v>80</v>
      </c>
      <c r="Q664">
        <f t="shared" si="690"/>
        <v>375295</v>
      </c>
    </row>
    <row r="665" spans="1:18" x14ac:dyDescent="0.25">
      <c r="A665" t="s">
        <v>1627</v>
      </c>
      <c r="B665" t="s">
        <v>1628</v>
      </c>
      <c r="C665" t="s">
        <v>8</v>
      </c>
      <c r="D665" t="s">
        <v>65</v>
      </c>
      <c r="E665" t="s">
        <v>1451</v>
      </c>
      <c r="F665" t="s">
        <v>5</v>
      </c>
      <c r="G665">
        <v>11497</v>
      </c>
      <c r="H665">
        <v>273</v>
      </c>
      <c r="I665">
        <v>2.9</v>
      </c>
      <c r="J665">
        <v>47</v>
      </c>
      <c r="K665">
        <f t="shared" ref="K665:K666" ca="1" si="703">IF(F665="Enrolled", TODAY()-E665, "")</f>
        <v>1255</v>
      </c>
      <c r="M665">
        <f t="shared" ref="M665:M666" ca="1" si="704">IF(F665="Enrolled",TODAY() - E665,"")</f>
        <v>1255</v>
      </c>
      <c r="N665" t="str">
        <f t="shared" ref="N665:N666" si="705">IF(I667&gt;=3.5,"Excellent",IF(I667&gt;=3,"Good",IF(I667&gt;=2,"Average","Poor")))</f>
        <v>Good</v>
      </c>
      <c r="O665" t="e">
        <f t="shared" ref="O665:O666" si="706">VLOOKUP(D665, $T$18:$U$23, 2, FALSE)</f>
        <v>#N/A</v>
      </c>
      <c r="P665" t="str">
        <f t="shared" ref="P665:P666" si="707">IF(H665 &gt; 0.5 * G665, "YES", "NO")</f>
        <v>NO</v>
      </c>
      <c r="Q665">
        <f t="shared" si="690"/>
        <v>375295</v>
      </c>
      <c r="R665" t="str">
        <f t="shared" ref="R665:R666" si="708">IF(MONTH(E659)&gt;=6, YEAR(E659) &amp; "-" &amp; YEAR(E659)+1, YEAR(E659)-1 &amp; "-" &amp; YEAR(E659))</f>
        <v>2023-2024</v>
      </c>
    </row>
    <row r="666" spans="1:18" x14ac:dyDescent="0.25">
      <c r="A666" t="s">
        <v>1629</v>
      </c>
      <c r="B666" t="s">
        <v>1630</v>
      </c>
      <c r="C666" t="s">
        <v>58</v>
      </c>
      <c r="D666" t="s">
        <v>3</v>
      </c>
      <c r="E666" t="s">
        <v>390</v>
      </c>
      <c r="F666" t="s">
        <v>5</v>
      </c>
      <c r="G666">
        <v>7089</v>
      </c>
      <c r="H666">
        <v>6857</v>
      </c>
      <c r="I666">
        <v>3.75</v>
      </c>
      <c r="J666">
        <v>113</v>
      </c>
      <c r="K666">
        <f t="shared" ca="1" si="703"/>
        <v>829</v>
      </c>
      <c r="M666">
        <f t="shared" ca="1" si="704"/>
        <v>829</v>
      </c>
      <c r="N666" t="str">
        <f t="shared" si="705"/>
        <v>Excellent</v>
      </c>
      <c r="O666" t="e">
        <f t="shared" si="706"/>
        <v>#N/A</v>
      </c>
      <c r="P666" t="str">
        <f t="shared" si="707"/>
        <v>YES</v>
      </c>
      <c r="Q666">
        <f t="shared" si="690"/>
        <v>375295</v>
      </c>
      <c r="R666" t="str">
        <f t="shared" si="708"/>
        <v>2021-2022</v>
      </c>
    </row>
    <row r="667" spans="1:18" hidden="1" x14ac:dyDescent="0.25">
      <c r="A667" t="s">
        <v>1631</v>
      </c>
      <c r="B667" t="s">
        <v>1632</v>
      </c>
      <c r="C667" t="s">
        <v>8</v>
      </c>
      <c r="D667" t="s">
        <v>9</v>
      </c>
      <c r="E667" s="1">
        <v>44959</v>
      </c>
      <c r="F667" t="s">
        <v>11</v>
      </c>
      <c r="G667">
        <v>5893</v>
      </c>
      <c r="H667">
        <v>55</v>
      </c>
      <c r="I667">
        <v>3.15</v>
      </c>
      <c r="J667">
        <v>8</v>
      </c>
      <c r="Q667">
        <f t="shared" si="690"/>
        <v>375295</v>
      </c>
    </row>
    <row r="668" spans="1:18" x14ac:dyDescent="0.25">
      <c r="A668" t="s">
        <v>1633</v>
      </c>
      <c r="B668" t="s">
        <v>1634</v>
      </c>
      <c r="C668" t="s">
        <v>21</v>
      </c>
      <c r="D668" t="s">
        <v>3</v>
      </c>
      <c r="E668" s="1">
        <v>44872</v>
      </c>
      <c r="F668" t="s">
        <v>5</v>
      </c>
      <c r="G668">
        <v>4330</v>
      </c>
      <c r="H668">
        <v>6146</v>
      </c>
      <c r="I668">
        <v>3.95</v>
      </c>
      <c r="J668">
        <v>81</v>
      </c>
      <c r="K668">
        <f t="shared" ref="K668:K669" ca="1" si="709">IF(F668="Enrolled", TODAY()-E668, "")</f>
        <v>1095</v>
      </c>
      <c r="M668">
        <f t="shared" ref="M668:M669" ca="1" si="710">IF(F668="Enrolled",TODAY() - E668,"")</f>
        <v>1095</v>
      </c>
      <c r="N668" t="str">
        <f t="shared" ref="N668:N669" si="711">IF(I670&gt;=3.5,"Excellent",IF(I670&gt;=3,"Good",IF(I670&gt;=2,"Average","Poor")))</f>
        <v>Good</v>
      </c>
      <c r="O668" t="e">
        <f t="shared" ref="O668:O669" si="712">VLOOKUP(D668, $T$18:$U$23, 2, FALSE)</f>
        <v>#N/A</v>
      </c>
      <c r="P668" t="str">
        <f t="shared" ref="P668:P669" si="713">IF(H668 &gt; 0.5 * G668, "YES", "NO")</f>
        <v>YES</v>
      </c>
      <c r="Q668">
        <f t="shared" si="690"/>
        <v>369402</v>
      </c>
      <c r="R668" t="str">
        <f t="shared" ref="R668:R669" si="714">IF(MONTH(E662)&gt;=6, YEAR(E662) &amp; "-" &amp; YEAR(E662)+1, YEAR(E662)-1 &amp; "-" &amp; YEAR(E662))</f>
        <v>2022-2023</v>
      </c>
    </row>
    <row r="669" spans="1:18" x14ac:dyDescent="0.25">
      <c r="A669" t="s">
        <v>1635</v>
      </c>
      <c r="B669" t="s">
        <v>1636</v>
      </c>
      <c r="C669" t="s">
        <v>17</v>
      </c>
      <c r="D669" t="s">
        <v>25</v>
      </c>
      <c r="E669" t="s">
        <v>1637</v>
      </c>
      <c r="F669" t="s">
        <v>5</v>
      </c>
      <c r="G669">
        <v>3810</v>
      </c>
      <c r="H669">
        <v>5081</v>
      </c>
      <c r="I669">
        <v>3.16</v>
      </c>
      <c r="J669">
        <v>66</v>
      </c>
      <c r="K669">
        <f t="shared" ca="1" si="709"/>
        <v>772</v>
      </c>
      <c r="M669">
        <f t="shared" ca="1" si="710"/>
        <v>772</v>
      </c>
      <c r="N669" t="str">
        <f t="shared" si="711"/>
        <v>Good</v>
      </c>
      <c r="O669" t="e">
        <f t="shared" si="712"/>
        <v>#N/A</v>
      </c>
      <c r="P669" t="str">
        <f t="shared" si="713"/>
        <v>YES</v>
      </c>
      <c r="Q669">
        <f t="shared" si="690"/>
        <v>369402</v>
      </c>
      <c r="R669" t="str">
        <f t="shared" si="714"/>
        <v>2023-2024</v>
      </c>
    </row>
    <row r="670" spans="1:18" hidden="1" x14ac:dyDescent="0.25">
      <c r="A670" t="s">
        <v>1638</v>
      </c>
      <c r="B670" t="s">
        <v>1639</v>
      </c>
      <c r="C670" t="s">
        <v>17</v>
      </c>
      <c r="D670" t="s">
        <v>9</v>
      </c>
      <c r="E670" t="s">
        <v>1640</v>
      </c>
      <c r="F670" t="s">
        <v>11</v>
      </c>
      <c r="G670">
        <v>3315</v>
      </c>
      <c r="H670">
        <v>3738</v>
      </c>
      <c r="I670">
        <v>3.26</v>
      </c>
      <c r="J670">
        <v>117</v>
      </c>
      <c r="Q670">
        <f t="shared" si="690"/>
        <v>369402</v>
      </c>
    </row>
    <row r="671" spans="1:18" hidden="1" x14ac:dyDescent="0.25">
      <c r="A671" t="s">
        <v>1641</v>
      </c>
      <c r="B671" t="s">
        <v>1642</v>
      </c>
      <c r="C671" t="s">
        <v>2</v>
      </c>
      <c r="D671" t="s">
        <v>25</v>
      </c>
      <c r="E671" s="1">
        <v>44775</v>
      </c>
      <c r="F671" t="s">
        <v>11</v>
      </c>
      <c r="G671">
        <v>9949</v>
      </c>
      <c r="H671">
        <v>1090</v>
      </c>
      <c r="I671">
        <v>3.17</v>
      </c>
      <c r="J671">
        <v>54</v>
      </c>
      <c r="Q671">
        <f t="shared" si="690"/>
        <v>366087</v>
      </c>
    </row>
    <row r="672" spans="1:18" x14ac:dyDescent="0.25">
      <c r="A672" t="s">
        <v>1643</v>
      </c>
      <c r="B672" t="s">
        <v>1644</v>
      </c>
      <c r="C672" t="s">
        <v>17</v>
      </c>
      <c r="D672" t="s">
        <v>3</v>
      </c>
      <c r="E672" t="s">
        <v>1645</v>
      </c>
      <c r="F672" t="s">
        <v>5</v>
      </c>
      <c r="G672">
        <v>2894</v>
      </c>
      <c r="H672">
        <v>8868</v>
      </c>
      <c r="I672">
        <v>3.96</v>
      </c>
      <c r="J672">
        <v>30</v>
      </c>
      <c r="K672">
        <f t="shared" ref="K672" ca="1" si="715">IF(F672="Enrolled", TODAY()-E672, "")</f>
        <v>755</v>
      </c>
      <c r="M672">
        <f ca="1">IF(F672="Enrolled",TODAY() - E672,"")</f>
        <v>755</v>
      </c>
      <c r="N672" t="str">
        <f>IF(I674&gt;=3.5,"Excellent",IF(I674&gt;=3,"Good",IF(I674&gt;=2,"Average","Poor")))</f>
        <v>Average</v>
      </c>
      <c r="O672" t="e">
        <f>VLOOKUP(D672, $T$18:$U$23, 2, FALSE)</f>
        <v>#N/A</v>
      </c>
      <c r="P672" t="str">
        <f t="shared" ref="P672" si="716">IF(H672 &gt; 0.5 * G672, "YES", "NO")</f>
        <v>YES</v>
      </c>
      <c r="Q672">
        <f t="shared" si="690"/>
        <v>366087</v>
      </c>
      <c r="R672" t="str">
        <f>IF(MONTH(E666)&gt;=6, YEAR(E666) &amp; "-" &amp; YEAR(E666)+1, YEAR(E666)-1 &amp; "-" &amp; YEAR(E666))</f>
        <v>2023-2024</v>
      </c>
    </row>
    <row r="673" spans="1:18" hidden="1" x14ac:dyDescent="0.25">
      <c r="A673" t="s">
        <v>1646</v>
      </c>
      <c r="B673" t="s">
        <v>1647</v>
      </c>
      <c r="C673" t="s">
        <v>14</v>
      </c>
      <c r="D673" t="s">
        <v>9</v>
      </c>
      <c r="E673" t="s">
        <v>1648</v>
      </c>
      <c r="F673" t="s">
        <v>36</v>
      </c>
      <c r="G673">
        <v>4013</v>
      </c>
      <c r="H673">
        <v>4029</v>
      </c>
      <c r="I673">
        <v>3.59</v>
      </c>
      <c r="J673">
        <v>6</v>
      </c>
      <c r="Q673">
        <f t="shared" si="690"/>
        <v>366087</v>
      </c>
    </row>
    <row r="674" spans="1:18" hidden="1" x14ac:dyDescent="0.25">
      <c r="A674" t="s">
        <v>1649</v>
      </c>
      <c r="B674" t="s">
        <v>1650</v>
      </c>
      <c r="C674" t="s">
        <v>14</v>
      </c>
      <c r="D674" t="s">
        <v>25</v>
      </c>
      <c r="E674" t="s">
        <v>837</v>
      </c>
      <c r="F674" t="s">
        <v>11</v>
      </c>
      <c r="G674">
        <v>5273</v>
      </c>
      <c r="H674">
        <v>9237</v>
      </c>
      <c r="I674">
        <v>2.59</v>
      </c>
      <c r="J674">
        <v>95</v>
      </c>
      <c r="Q674">
        <f t="shared" si="690"/>
        <v>366087</v>
      </c>
    </row>
    <row r="675" spans="1:18" x14ac:dyDescent="0.25">
      <c r="A675" t="s">
        <v>1651</v>
      </c>
      <c r="B675" t="s">
        <v>1652</v>
      </c>
      <c r="C675" t="s">
        <v>55</v>
      </c>
      <c r="D675" t="s">
        <v>9</v>
      </c>
      <c r="E675" t="s">
        <v>1626</v>
      </c>
      <c r="F675" t="s">
        <v>5</v>
      </c>
      <c r="G675">
        <v>10298</v>
      </c>
      <c r="H675">
        <v>1382</v>
      </c>
      <c r="I675">
        <v>2.67</v>
      </c>
      <c r="J675">
        <v>88</v>
      </c>
      <c r="K675">
        <f t="shared" ref="K675:K681" ca="1" si="717">IF(F675="Enrolled", TODAY()-E675, "")</f>
        <v>777</v>
      </c>
      <c r="M675">
        <f t="shared" ref="M675:M681" ca="1" si="718">IF(F675="Enrolled",TODAY() - E675,"")</f>
        <v>777</v>
      </c>
      <c r="N675" t="str">
        <f t="shared" ref="N675:N681" si="719">IF(I677&gt;=3.5,"Excellent",IF(I677&gt;=3,"Good",IF(I677&gt;=2,"Average","Poor")))</f>
        <v>Average</v>
      </c>
      <c r="O675" t="e">
        <f t="shared" ref="O675:O681" si="720">VLOOKUP(D675, $T$18:$U$23, 2, FALSE)</f>
        <v>#N/A</v>
      </c>
      <c r="P675" t="str">
        <f t="shared" ref="P675:P681" si="721">IF(H675 &gt; 0.5 * G675, "YES", "NO")</f>
        <v>NO</v>
      </c>
      <c r="Q675">
        <f t="shared" si="690"/>
        <v>366087</v>
      </c>
      <c r="R675" t="str">
        <f t="shared" ref="R675:R681" si="722">IF(MONTH(E669)&gt;=6, YEAR(E669) &amp; "-" &amp; YEAR(E669)+1, YEAR(E669)-1 &amp; "-" &amp; YEAR(E669))</f>
        <v>2023-2024</v>
      </c>
    </row>
    <row r="676" spans="1:18" x14ac:dyDescent="0.25">
      <c r="A676" t="s">
        <v>1653</v>
      </c>
      <c r="B676" t="s">
        <v>1654</v>
      </c>
      <c r="C676" t="s">
        <v>32</v>
      </c>
      <c r="D676" t="s">
        <v>3</v>
      </c>
      <c r="E676" s="1">
        <v>44744</v>
      </c>
      <c r="F676" t="s">
        <v>5</v>
      </c>
      <c r="G676">
        <v>9592</v>
      </c>
      <c r="H676">
        <v>944</v>
      </c>
      <c r="I676">
        <v>2.1</v>
      </c>
      <c r="J676">
        <v>71</v>
      </c>
      <c r="K676">
        <f t="shared" ca="1" si="717"/>
        <v>1223</v>
      </c>
      <c r="M676">
        <f t="shared" ca="1" si="718"/>
        <v>1223</v>
      </c>
      <c r="N676" t="str">
        <f t="shared" si="719"/>
        <v>Good</v>
      </c>
      <c r="O676" t="e">
        <f t="shared" si="720"/>
        <v>#N/A</v>
      </c>
      <c r="P676" t="str">
        <f t="shared" si="721"/>
        <v>NO</v>
      </c>
      <c r="Q676">
        <f t="shared" si="690"/>
        <v>366087</v>
      </c>
      <c r="R676" t="str">
        <f t="shared" si="722"/>
        <v>2022-2023</v>
      </c>
    </row>
    <row r="677" spans="1:18" x14ac:dyDescent="0.25">
      <c r="A677" t="s">
        <v>1655</v>
      </c>
      <c r="B677" t="s">
        <v>1656</v>
      </c>
      <c r="C677" t="s">
        <v>32</v>
      </c>
      <c r="D677" t="s">
        <v>3</v>
      </c>
      <c r="E677" t="s">
        <v>1236</v>
      </c>
      <c r="F677" t="s">
        <v>5</v>
      </c>
      <c r="G677">
        <v>12383</v>
      </c>
      <c r="H677">
        <v>6864</v>
      </c>
      <c r="I677">
        <v>2.78</v>
      </c>
      <c r="J677">
        <v>38</v>
      </c>
      <c r="K677">
        <f t="shared" ca="1" si="717"/>
        <v>1150</v>
      </c>
      <c r="M677">
        <f t="shared" ca="1" si="718"/>
        <v>1150</v>
      </c>
      <c r="N677" t="str">
        <f t="shared" si="719"/>
        <v>Excellent</v>
      </c>
      <c r="O677" t="e">
        <f t="shared" si="720"/>
        <v>#N/A</v>
      </c>
      <c r="P677" t="str">
        <f t="shared" si="721"/>
        <v>YES</v>
      </c>
      <c r="Q677">
        <f t="shared" si="690"/>
        <v>366087</v>
      </c>
      <c r="R677" t="str">
        <f t="shared" si="722"/>
        <v>2022-2023</v>
      </c>
    </row>
    <row r="678" spans="1:18" x14ac:dyDescent="0.25">
      <c r="A678" t="s">
        <v>1657</v>
      </c>
      <c r="B678" t="s">
        <v>1658</v>
      </c>
      <c r="C678" t="s">
        <v>17</v>
      </c>
      <c r="D678" t="s">
        <v>65</v>
      </c>
      <c r="E678" s="1">
        <v>44842</v>
      </c>
      <c r="F678" t="s">
        <v>5</v>
      </c>
      <c r="G678">
        <v>10703</v>
      </c>
      <c r="H678">
        <v>1138</v>
      </c>
      <c r="I678">
        <v>3.49</v>
      </c>
      <c r="J678">
        <v>107</v>
      </c>
      <c r="K678">
        <f t="shared" ca="1" si="717"/>
        <v>1125</v>
      </c>
      <c r="M678">
        <f t="shared" ca="1" si="718"/>
        <v>1125</v>
      </c>
      <c r="N678" t="str">
        <f t="shared" si="719"/>
        <v>Average</v>
      </c>
      <c r="O678" t="e">
        <f t="shared" si="720"/>
        <v>#N/A</v>
      </c>
      <c r="P678" t="str">
        <f t="shared" si="721"/>
        <v>NO</v>
      </c>
      <c r="Q678">
        <f t="shared" si="690"/>
        <v>366087</v>
      </c>
      <c r="R678" t="str">
        <f t="shared" si="722"/>
        <v>2023-2024</v>
      </c>
    </row>
    <row r="679" spans="1:18" x14ac:dyDescent="0.25">
      <c r="A679" t="s">
        <v>1659</v>
      </c>
      <c r="B679" t="s">
        <v>1660</v>
      </c>
      <c r="C679" t="s">
        <v>32</v>
      </c>
      <c r="D679" t="s">
        <v>3</v>
      </c>
      <c r="E679" s="1">
        <v>45049</v>
      </c>
      <c r="F679" t="s">
        <v>5</v>
      </c>
      <c r="G679">
        <v>12060</v>
      </c>
      <c r="H679">
        <v>6306</v>
      </c>
      <c r="I679">
        <v>3.77</v>
      </c>
      <c r="J679">
        <v>48</v>
      </c>
      <c r="K679">
        <f t="shared" ca="1" si="717"/>
        <v>918</v>
      </c>
      <c r="M679">
        <f t="shared" ca="1" si="718"/>
        <v>918</v>
      </c>
      <c r="N679" t="str">
        <f t="shared" si="719"/>
        <v>Average</v>
      </c>
      <c r="O679" t="e">
        <f t="shared" si="720"/>
        <v>#N/A</v>
      </c>
      <c r="P679" t="str">
        <f t="shared" si="721"/>
        <v>YES</v>
      </c>
      <c r="Q679">
        <f t="shared" si="690"/>
        <v>366087</v>
      </c>
      <c r="R679" t="str">
        <f t="shared" si="722"/>
        <v>2022-2023</v>
      </c>
    </row>
    <row r="680" spans="1:18" x14ac:dyDescent="0.25">
      <c r="A680" t="s">
        <v>1661</v>
      </c>
      <c r="B680" t="s">
        <v>1662</v>
      </c>
      <c r="C680" t="s">
        <v>58</v>
      </c>
      <c r="D680" t="s">
        <v>65</v>
      </c>
      <c r="E680" t="s">
        <v>877</v>
      </c>
      <c r="F680" t="s">
        <v>5</v>
      </c>
      <c r="G680">
        <v>5192</v>
      </c>
      <c r="H680">
        <v>7911</v>
      </c>
      <c r="I680">
        <v>2.4700000000000002</v>
      </c>
      <c r="J680">
        <v>88</v>
      </c>
      <c r="K680">
        <f t="shared" ca="1" si="717"/>
        <v>507</v>
      </c>
      <c r="M680">
        <f t="shared" ca="1" si="718"/>
        <v>507</v>
      </c>
      <c r="N680" t="str">
        <f t="shared" si="719"/>
        <v>Average</v>
      </c>
      <c r="O680" t="e">
        <f t="shared" si="720"/>
        <v>#N/A</v>
      </c>
      <c r="P680" t="str">
        <f t="shared" si="721"/>
        <v>YES</v>
      </c>
      <c r="Q680">
        <f t="shared" si="690"/>
        <v>366087</v>
      </c>
      <c r="R680" t="str">
        <f t="shared" si="722"/>
        <v>2021-2022</v>
      </c>
    </row>
    <row r="681" spans="1:18" x14ac:dyDescent="0.25">
      <c r="A681" t="s">
        <v>1663</v>
      </c>
      <c r="B681" t="s">
        <v>1664</v>
      </c>
      <c r="C681" t="s">
        <v>21</v>
      </c>
      <c r="D681" t="s">
        <v>25</v>
      </c>
      <c r="E681" t="s">
        <v>1665</v>
      </c>
      <c r="F681" t="s">
        <v>5</v>
      </c>
      <c r="G681">
        <v>3356</v>
      </c>
      <c r="H681">
        <v>4096</v>
      </c>
      <c r="I681">
        <v>2.74</v>
      </c>
      <c r="J681">
        <v>98</v>
      </c>
      <c r="K681">
        <f t="shared" ca="1" si="717"/>
        <v>1331</v>
      </c>
      <c r="M681">
        <f t="shared" ca="1" si="718"/>
        <v>1331</v>
      </c>
      <c r="N681" t="str">
        <f t="shared" si="719"/>
        <v>Good</v>
      </c>
      <c r="O681" t="e">
        <f t="shared" si="720"/>
        <v>#N/A</v>
      </c>
      <c r="P681" t="str">
        <f t="shared" si="721"/>
        <v>YES</v>
      </c>
      <c r="Q681">
        <f t="shared" si="690"/>
        <v>366087</v>
      </c>
      <c r="R681" t="str">
        <f t="shared" si="722"/>
        <v>2023-2024</v>
      </c>
    </row>
    <row r="682" spans="1:18" hidden="1" x14ac:dyDescent="0.25">
      <c r="A682" t="s">
        <v>1666</v>
      </c>
      <c r="B682" t="s">
        <v>1667</v>
      </c>
      <c r="C682" t="s">
        <v>8</v>
      </c>
      <c r="D682" t="s">
        <v>25</v>
      </c>
      <c r="E682" t="s">
        <v>1668</v>
      </c>
      <c r="F682" t="s">
        <v>11</v>
      </c>
      <c r="G682">
        <v>6141</v>
      </c>
      <c r="H682">
        <v>1714</v>
      </c>
      <c r="I682">
        <v>2.58</v>
      </c>
      <c r="J682">
        <v>100</v>
      </c>
      <c r="Q682">
        <f t="shared" si="690"/>
        <v>366087</v>
      </c>
    </row>
    <row r="683" spans="1:18" x14ac:dyDescent="0.25">
      <c r="A683" t="s">
        <v>1669</v>
      </c>
      <c r="B683" t="s">
        <v>1670</v>
      </c>
      <c r="C683" t="s">
        <v>2</v>
      </c>
      <c r="D683" t="s">
        <v>9</v>
      </c>
      <c r="E683" s="1">
        <v>45477</v>
      </c>
      <c r="F683" t="s">
        <v>5</v>
      </c>
      <c r="G683">
        <v>5110</v>
      </c>
      <c r="H683">
        <v>1350</v>
      </c>
      <c r="I683">
        <v>3.06</v>
      </c>
      <c r="J683">
        <v>77</v>
      </c>
      <c r="K683">
        <f t="shared" ref="K683:K687" ca="1" si="723">IF(F683="Enrolled", TODAY()-E683, "")</f>
        <v>490</v>
      </c>
      <c r="M683">
        <f t="shared" ref="M683:M687" ca="1" si="724">IF(F683="Enrolled",TODAY() - E683,"")</f>
        <v>490</v>
      </c>
      <c r="N683" t="str">
        <f t="shared" ref="N683:N687" si="725">IF(I685&gt;=3.5,"Excellent",IF(I685&gt;=3,"Good",IF(I685&gt;=2,"Average","Poor")))</f>
        <v>Good</v>
      </c>
      <c r="O683" t="e">
        <f t="shared" ref="O683:O687" si="726">VLOOKUP(D683, $T$18:$U$23, 2, FALSE)</f>
        <v>#N/A</v>
      </c>
      <c r="P683" t="str">
        <f t="shared" ref="P683:P687" si="727">IF(H683 &gt; 0.5 * G683, "YES", "NO")</f>
        <v>NO</v>
      </c>
      <c r="Q683">
        <f t="shared" si="690"/>
        <v>366087</v>
      </c>
      <c r="R683" t="str">
        <f t="shared" ref="R683:R687" si="728">IF(MONTH(E677)&gt;=6, YEAR(E677) &amp; "-" &amp; YEAR(E677)+1, YEAR(E677)-1 &amp; "-" &amp; YEAR(E677))</f>
        <v>2022-2023</v>
      </c>
    </row>
    <row r="684" spans="1:18" x14ac:dyDescent="0.25">
      <c r="A684" t="s">
        <v>1671</v>
      </c>
      <c r="B684" t="s">
        <v>1672</v>
      </c>
      <c r="C684" t="s">
        <v>21</v>
      </c>
      <c r="D684" t="s">
        <v>9</v>
      </c>
      <c r="E684" t="s">
        <v>654</v>
      </c>
      <c r="F684" t="s">
        <v>5</v>
      </c>
      <c r="G684">
        <v>10080</v>
      </c>
      <c r="H684">
        <v>4930</v>
      </c>
      <c r="I684">
        <v>3.17</v>
      </c>
      <c r="J684">
        <v>73</v>
      </c>
      <c r="K684">
        <f t="shared" ca="1" si="723"/>
        <v>627</v>
      </c>
      <c r="M684">
        <f t="shared" ca="1" si="724"/>
        <v>627</v>
      </c>
      <c r="N684" t="str">
        <f t="shared" si="725"/>
        <v>Good</v>
      </c>
      <c r="O684" t="e">
        <f t="shared" si="726"/>
        <v>#N/A</v>
      </c>
      <c r="P684" t="str">
        <f t="shared" si="727"/>
        <v>NO</v>
      </c>
      <c r="Q684">
        <f t="shared" si="690"/>
        <v>366087</v>
      </c>
      <c r="R684" t="str">
        <f t="shared" si="728"/>
        <v>2022-2023</v>
      </c>
    </row>
    <row r="685" spans="1:18" x14ac:dyDescent="0.25">
      <c r="A685" t="s">
        <v>1673</v>
      </c>
      <c r="B685" t="s">
        <v>1674</v>
      </c>
      <c r="C685" t="s">
        <v>8</v>
      </c>
      <c r="D685" t="s">
        <v>9</v>
      </c>
      <c r="E685" s="1">
        <v>44653</v>
      </c>
      <c r="F685" t="s">
        <v>5</v>
      </c>
      <c r="G685">
        <v>7513</v>
      </c>
      <c r="H685">
        <v>1653</v>
      </c>
      <c r="I685">
        <v>3.05</v>
      </c>
      <c r="J685">
        <v>73</v>
      </c>
      <c r="K685">
        <f t="shared" ca="1" si="723"/>
        <v>1314</v>
      </c>
      <c r="M685">
        <f t="shared" ca="1" si="724"/>
        <v>1314</v>
      </c>
      <c r="N685" t="str">
        <f t="shared" si="725"/>
        <v>Excellent</v>
      </c>
      <c r="O685" t="e">
        <f t="shared" si="726"/>
        <v>#N/A</v>
      </c>
      <c r="P685" t="str">
        <f t="shared" si="727"/>
        <v>NO</v>
      </c>
      <c r="Q685">
        <f t="shared" si="690"/>
        <v>366087</v>
      </c>
      <c r="R685" t="str">
        <f t="shared" si="728"/>
        <v>2022-2023</v>
      </c>
    </row>
    <row r="686" spans="1:18" x14ac:dyDescent="0.25">
      <c r="A686" t="s">
        <v>1675</v>
      </c>
      <c r="B686" t="s">
        <v>1676</v>
      </c>
      <c r="C686" t="s">
        <v>21</v>
      </c>
      <c r="D686" t="s">
        <v>9</v>
      </c>
      <c r="E686" t="s">
        <v>1677</v>
      </c>
      <c r="F686" t="s">
        <v>5</v>
      </c>
      <c r="G686">
        <v>8227</v>
      </c>
      <c r="H686">
        <v>4734</v>
      </c>
      <c r="I686">
        <v>3.1</v>
      </c>
      <c r="J686">
        <v>50</v>
      </c>
      <c r="K686">
        <f t="shared" ca="1" si="723"/>
        <v>682</v>
      </c>
      <c r="M686">
        <f t="shared" ca="1" si="724"/>
        <v>682</v>
      </c>
      <c r="N686" t="str">
        <f t="shared" si="725"/>
        <v>Average</v>
      </c>
      <c r="O686" t="e">
        <f t="shared" si="726"/>
        <v>#N/A</v>
      </c>
      <c r="P686" t="str">
        <f t="shared" si="727"/>
        <v>YES</v>
      </c>
      <c r="Q686">
        <f t="shared" si="690"/>
        <v>366087</v>
      </c>
      <c r="R686" t="str">
        <f t="shared" si="728"/>
        <v>2024-2025</v>
      </c>
    </row>
    <row r="687" spans="1:18" x14ac:dyDescent="0.25">
      <c r="A687" t="s">
        <v>1678</v>
      </c>
      <c r="B687" t="s">
        <v>1679</v>
      </c>
      <c r="C687" t="s">
        <v>55</v>
      </c>
      <c r="D687" t="s">
        <v>3</v>
      </c>
      <c r="E687" t="s">
        <v>1677</v>
      </c>
      <c r="F687" t="s">
        <v>5</v>
      </c>
      <c r="G687">
        <v>13129</v>
      </c>
      <c r="H687">
        <v>7800</v>
      </c>
      <c r="I687">
        <v>3.5</v>
      </c>
      <c r="J687">
        <v>116</v>
      </c>
      <c r="K687">
        <f t="shared" ca="1" si="723"/>
        <v>682</v>
      </c>
      <c r="M687">
        <f t="shared" ca="1" si="724"/>
        <v>682</v>
      </c>
      <c r="N687" t="str">
        <f t="shared" si="725"/>
        <v>Average</v>
      </c>
      <c r="O687" t="e">
        <f t="shared" si="726"/>
        <v>#N/A</v>
      </c>
      <c r="P687" t="str">
        <f t="shared" si="727"/>
        <v>YES</v>
      </c>
      <c r="Q687">
        <f t="shared" si="690"/>
        <v>366087</v>
      </c>
      <c r="R687" t="str">
        <f t="shared" si="728"/>
        <v>2021-2022</v>
      </c>
    </row>
    <row r="688" spans="1:18" hidden="1" x14ac:dyDescent="0.25">
      <c r="A688" t="s">
        <v>1680</v>
      </c>
      <c r="B688" t="s">
        <v>1681</v>
      </c>
      <c r="C688" t="s">
        <v>21</v>
      </c>
      <c r="D688" t="s">
        <v>9</v>
      </c>
      <c r="E688" s="1">
        <v>44846</v>
      </c>
      <c r="F688" t="s">
        <v>36</v>
      </c>
      <c r="G688">
        <v>10408</v>
      </c>
      <c r="H688">
        <v>1245</v>
      </c>
      <c r="I688">
        <v>2.78</v>
      </c>
      <c r="J688">
        <v>72</v>
      </c>
      <c r="Q688">
        <f t="shared" si="690"/>
        <v>366087</v>
      </c>
    </row>
    <row r="689" spans="1:18" hidden="1" x14ac:dyDescent="0.25">
      <c r="A689" t="s">
        <v>1682</v>
      </c>
      <c r="B689" t="s">
        <v>1683</v>
      </c>
      <c r="C689" t="s">
        <v>21</v>
      </c>
      <c r="D689" t="s">
        <v>3</v>
      </c>
      <c r="E689" t="s">
        <v>1684</v>
      </c>
      <c r="F689" t="s">
        <v>11</v>
      </c>
      <c r="G689">
        <v>7270</v>
      </c>
      <c r="H689">
        <v>4035</v>
      </c>
      <c r="I689">
        <v>2.2000000000000002</v>
      </c>
      <c r="J689">
        <v>10</v>
      </c>
      <c r="Q689">
        <f t="shared" si="690"/>
        <v>366087</v>
      </c>
    </row>
    <row r="690" spans="1:18" x14ac:dyDescent="0.25">
      <c r="A690" t="s">
        <v>1685</v>
      </c>
      <c r="B690" t="s">
        <v>1686</v>
      </c>
      <c r="C690" t="s">
        <v>32</v>
      </c>
      <c r="D690" t="s">
        <v>9</v>
      </c>
      <c r="E690" t="s">
        <v>1151</v>
      </c>
      <c r="F690" t="s">
        <v>5</v>
      </c>
      <c r="G690">
        <v>2730</v>
      </c>
      <c r="H690">
        <v>6097</v>
      </c>
      <c r="I690">
        <v>2.09</v>
      </c>
      <c r="J690">
        <v>70</v>
      </c>
      <c r="K690">
        <f t="shared" ref="K690" ca="1" si="729">IF(F690="Enrolled", TODAY()-E690, "")</f>
        <v>1319</v>
      </c>
      <c r="M690">
        <f ca="1">IF(F690="Enrolled",TODAY() - E690,"")</f>
        <v>1319</v>
      </c>
      <c r="N690" t="str">
        <f>IF(I692&gt;=3.5,"Excellent",IF(I692&gt;=3,"Good",IF(I692&gt;=2,"Average","Poor")))</f>
        <v>Good</v>
      </c>
      <c r="O690" t="e">
        <f>VLOOKUP(D690, $T$18:$U$23, 2, FALSE)</f>
        <v>#N/A</v>
      </c>
      <c r="P690" t="str">
        <f t="shared" ref="P690" si="730">IF(H690 &gt; 0.5 * G690, "YES", "NO")</f>
        <v>YES</v>
      </c>
      <c r="Q690">
        <f t="shared" si="690"/>
        <v>366087</v>
      </c>
      <c r="R690" t="str">
        <f>IF(MONTH(E684)&gt;=6, YEAR(E684) &amp; "-" &amp; YEAR(E684)+1, YEAR(E684)-1 &amp; "-" &amp; YEAR(E684))</f>
        <v>2023-2024</v>
      </c>
    </row>
    <row r="691" spans="1:18" hidden="1" x14ac:dyDescent="0.25">
      <c r="A691" t="s">
        <v>1687</v>
      </c>
      <c r="B691" t="s">
        <v>1688</v>
      </c>
      <c r="C691" t="s">
        <v>21</v>
      </c>
      <c r="D691" t="s">
        <v>9</v>
      </c>
      <c r="E691" s="1">
        <v>44626</v>
      </c>
      <c r="F691" t="s">
        <v>11</v>
      </c>
      <c r="G691">
        <v>11096</v>
      </c>
      <c r="H691">
        <v>3961</v>
      </c>
      <c r="I691">
        <v>3.9</v>
      </c>
      <c r="J691">
        <v>48</v>
      </c>
      <c r="Q691">
        <f t="shared" si="690"/>
        <v>366087</v>
      </c>
    </row>
    <row r="692" spans="1:18" hidden="1" x14ac:dyDescent="0.25">
      <c r="A692" t="s">
        <v>1689</v>
      </c>
      <c r="B692" t="s">
        <v>1690</v>
      </c>
      <c r="C692" t="s">
        <v>32</v>
      </c>
      <c r="D692" t="s">
        <v>9</v>
      </c>
      <c r="E692" s="1">
        <v>45599</v>
      </c>
      <c r="F692" t="s">
        <v>11</v>
      </c>
      <c r="G692">
        <v>14406</v>
      </c>
      <c r="H692">
        <v>3386</v>
      </c>
      <c r="I692">
        <v>3.04</v>
      </c>
      <c r="J692">
        <v>109</v>
      </c>
      <c r="Q692">
        <f t="shared" si="690"/>
        <v>354991</v>
      </c>
    </row>
    <row r="693" spans="1:18" hidden="1" x14ac:dyDescent="0.25">
      <c r="A693" t="s">
        <v>1691</v>
      </c>
      <c r="B693" t="s">
        <v>1692</v>
      </c>
      <c r="C693" t="s">
        <v>8</v>
      </c>
      <c r="D693" t="s">
        <v>25</v>
      </c>
      <c r="E693" t="s">
        <v>1693</v>
      </c>
      <c r="F693" t="s">
        <v>11</v>
      </c>
      <c r="G693">
        <v>11296</v>
      </c>
      <c r="H693">
        <v>6755</v>
      </c>
      <c r="I693">
        <v>2.86</v>
      </c>
      <c r="J693">
        <v>112</v>
      </c>
      <c r="Q693">
        <f t="shared" si="690"/>
        <v>340585</v>
      </c>
    </row>
    <row r="694" spans="1:18" hidden="1" x14ac:dyDescent="0.25">
      <c r="A694" t="s">
        <v>1694</v>
      </c>
      <c r="B694" t="s">
        <v>1695</v>
      </c>
      <c r="C694" t="s">
        <v>17</v>
      </c>
      <c r="D694" t="s">
        <v>9</v>
      </c>
      <c r="E694" t="s">
        <v>1224</v>
      </c>
      <c r="F694" t="s">
        <v>36</v>
      </c>
      <c r="G694">
        <v>12851</v>
      </c>
      <c r="H694">
        <v>8600</v>
      </c>
      <c r="I694">
        <v>3.36</v>
      </c>
      <c r="J694">
        <v>15</v>
      </c>
      <c r="Q694">
        <f t="shared" si="690"/>
        <v>340585</v>
      </c>
    </row>
    <row r="695" spans="1:18" hidden="1" x14ac:dyDescent="0.25">
      <c r="A695" t="s">
        <v>1696</v>
      </c>
      <c r="B695" t="s">
        <v>1697</v>
      </c>
      <c r="C695" t="s">
        <v>32</v>
      </c>
      <c r="D695" t="s">
        <v>25</v>
      </c>
      <c r="E695" t="s">
        <v>1608</v>
      </c>
      <c r="F695" t="s">
        <v>11</v>
      </c>
      <c r="G695">
        <v>6804</v>
      </c>
      <c r="H695">
        <v>4521</v>
      </c>
      <c r="I695">
        <v>3.77</v>
      </c>
      <c r="J695">
        <v>2</v>
      </c>
      <c r="Q695">
        <f t="shared" si="690"/>
        <v>340585</v>
      </c>
    </row>
    <row r="696" spans="1:18" x14ac:dyDescent="0.25">
      <c r="A696" t="s">
        <v>1698</v>
      </c>
      <c r="B696" t="s">
        <v>1699</v>
      </c>
      <c r="C696" t="s">
        <v>17</v>
      </c>
      <c r="D696" t="s">
        <v>65</v>
      </c>
      <c r="E696" t="s">
        <v>687</v>
      </c>
      <c r="F696" t="s">
        <v>5</v>
      </c>
      <c r="G696">
        <v>3504</v>
      </c>
      <c r="H696">
        <v>7053</v>
      </c>
      <c r="I696">
        <v>2.31</v>
      </c>
      <c r="J696">
        <v>101</v>
      </c>
      <c r="K696">
        <f t="shared" ref="K696" ca="1" si="731">IF(F696="Enrolled", TODAY()-E696, "")</f>
        <v>1330</v>
      </c>
      <c r="M696">
        <f ca="1">IF(F696="Enrolled",TODAY() - E696,"")</f>
        <v>1330</v>
      </c>
      <c r="N696" t="str">
        <f>IF(I698&gt;=3.5,"Excellent",IF(I698&gt;=3,"Good",IF(I698&gt;=2,"Average","Poor")))</f>
        <v>Excellent</v>
      </c>
      <c r="O696" t="e">
        <f>VLOOKUP(D696, $T$18:$U$23, 2, FALSE)</f>
        <v>#N/A</v>
      </c>
      <c r="P696" t="str">
        <f t="shared" ref="P696" si="732">IF(H696 &gt; 0.5 * G696, "YES", "NO")</f>
        <v>YES</v>
      </c>
      <c r="Q696">
        <f t="shared" si="690"/>
        <v>340585</v>
      </c>
      <c r="R696" t="str">
        <f>IF(MONTH(E690)&gt;=6, YEAR(E690) &amp; "-" &amp; YEAR(E690)+1, YEAR(E690)-1 &amp; "-" &amp; YEAR(E690))</f>
        <v>2021-2022</v>
      </c>
    </row>
    <row r="697" spans="1:18" hidden="1" x14ac:dyDescent="0.25">
      <c r="A697" t="s">
        <v>1700</v>
      </c>
      <c r="B697" t="s">
        <v>1701</v>
      </c>
      <c r="C697" t="s">
        <v>55</v>
      </c>
      <c r="D697" t="s">
        <v>25</v>
      </c>
      <c r="E697" s="1">
        <v>44815</v>
      </c>
      <c r="F697" t="s">
        <v>11</v>
      </c>
      <c r="G697">
        <v>13244</v>
      </c>
      <c r="H697">
        <v>5499</v>
      </c>
      <c r="I697">
        <v>2.0299999999999998</v>
      </c>
      <c r="J697">
        <v>44</v>
      </c>
      <c r="Q697">
        <f t="shared" si="690"/>
        <v>340585</v>
      </c>
    </row>
    <row r="698" spans="1:18" hidden="1" x14ac:dyDescent="0.25">
      <c r="A698" t="s">
        <v>1702</v>
      </c>
      <c r="B698" t="s">
        <v>1703</v>
      </c>
      <c r="C698" t="s">
        <v>2</v>
      </c>
      <c r="D698" t="s">
        <v>9</v>
      </c>
      <c r="E698" s="1">
        <v>44604</v>
      </c>
      <c r="F698" t="s">
        <v>11</v>
      </c>
      <c r="G698">
        <v>14717</v>
      </c>
      <c r="H698">
        <v>290</v>
      </c>
      <c r="I698">
        <v>3.78</v>
      </c>
      <c r="J698">
        <v>97</v>
      </c>
      <c r="Q698">
        <f t="shared" si="690"/>
        <v>340585</v>
      </c>
    </row>
    <row r="699" spans="1:18" x14ac:dyDescent="0.25">
      <c r="A699" t="s">
        <v>1704</v>
      </c>
      <c r="B699" t="s">
        <v>1705</v>
      </c>
      <c r="C699" t="s">
        <v>58</v>
      </c>
      <c r="D699" t="s">
        <v>9</v>
      </c>
      <c r="E699" t="s">
        <v>1111</v>
      </c>
      <c r="F699" t="s">
        <v>5</v>
      </c>
      <c r="G699">
        <v>9722</v>
      </c>
      <c r="H699">
        <v>7356</v>
      </c>
      <c r="I699">
        <v>2.5</v>
      </c>
      <c r="J699">
        <v>53</v>
      </c>
      <c r="K699">
        <f t="shared" ref="K699:K701" ca="1" si="733">IF(F699="Enrolled", TODAY()-E699, "")</f>
        <v>723</v>
      </c>
      <c r="M699">
        <f t="shared" ref="M699:M701" ca="1" si="734">IF(F699="Enrolled",TODAY() - E699,"")</f>
        <v>723</v>
      </c>
      <c r="N699" t="str">
        <f t="shared" ref="N699:N701" si="735">IF(I701&gt;=3.5,"Excellent",IF(I701&gt;=3,"Good",IF(I701&gt;=2,"Average","Poor")))</f>
        <v>Average</v>
      </c>
      <c r="O699" t="e">
        <f t="shared" ref="O699:O701" si="736">VLOOKUP(D699, $T$18:$U$23, 2, FALSE)</f>
        <v>#N/A</v>
      </c>
      <c r="P699" t="str">
        <f t="shared" ref="P699:P701" si="737">IF(H699 &gt; 0.5 * G699, "YES", "NO")</f>
        <v>YES</v>
      </c>
      <c r="Q699">
        <f t="shared" si="690"/>
        <v>325868</v>
      </c>
      <c r="R699" t="str">
        <f t="shared" ref="R699:R701" si="738">IF(MONTH(E693)&gt;=6, YEAR(E693) &amp; "-" &amp; YEAR(E693)+1, YEAR(E693)-1 &amp; "-" &amp; YEAR(E693))</f>
        <v>2023-2024</v>
      </c>
    </row>
    <row r="700" spans="1:18" x14ac:dyDescent="0.25">
      <c r="A700" t="s">
        <v>1706</v>
      </c>
      <c r="B700" t="s">
        <v>1707</v>
      </c>
      <c r="C700" t="s">
        <v>21</v>
      </c>
      <c r="D700" t="s">
        <v>3</v>
      </c>
      <c r="E700" s="1">
        <v>45506</v>
      </c>
      <c r="F700" t="s">
        <v>5</v>
      </c>
      <c r="G700">
        <v>12801</v>
      </c>
      <c r="H700">
        <v>8270</v>
      </c>
      <c r="I700">
        <v>2.58</v>
      </c>
      <c r="J700">
        <v>57</v>
      </c>
      <c r="K700">
        <f t="shared" ca="1" si="733"/>
        <v>461</v>
      </c>
      <c r="M700">
        <f t="shared" ca="1" si="734"/>
        <v>461</v>
      </c>
      <c r="N700" t="str">
        <f t="shared" si="735"/>
        <v>Excellent</v>
      </c>
      <c r="O700" t="e">
        <f t="shared" si="736"/>
        <v>#N/A</v>
      </c>
      <c r="P700" t="str">
        <f t="shared" si="737"/>
        <v>YES</v>
      </c>
      <c r="Q700">
        <f t="shared" si="690"/>
        <v>325868</v>
      </c>
      <c r="R700" t="str">
        <f t="shared" si="738"/>
        <v>2023-2024</v>
      </c>
    </row>
    <row r="701" spans="1:18" x14ac:dyDescent="0.25">
      <c r="A701" t="s">
        <v>1708</v>
      </c>
      <c r="B701" t="s">
        <v>1709</v>
      </c>
      <c r="C701" t="s">
        <v>2</v>
      </c>
      <c r="D701" t="s">
        <v>9</v>
      </c>
      <c r="E701" s="1">
        <v>44627</v>
      </c>
      <c r="F701" t="s">
        <v>5</v>
      </c>
      <c r="G701">
        <v>3650</v>
      </c>
      <c r="H701">
        <v>137</v>
      </c>
      <c r="I701">
        <v>2.64</v>
      </c>
      <c r="J701">
        <v>4</v>
      </c>
      <c r="K701">
        <f t="shared" ca="1" si="733"/>
        <v>1340</v>
      </c>
      <c r="M701">
        <f t="shared" ca="1" si="734"/>
        <v>1340</v>
      </c>
      <c r="N701" t="str">
        <f t="shared" si="735"/>
        <v>Excellent</v>
      </c>
      <c r="O701" t="e">
        <f t="shared" si="736"/>
        <v>#N/A</v>
      </c>
      <c r="P701" t="str">
        <f t="shared" si="737"/>
        <v>NO</v>
      </c>
      <c r="Q701">
        <f t="shared" si="690"/>
        <v>325868</v>
      </c>
      <c r="R701" t="str">
        <f t="shared" si="738"/>
        <v>2023-2024</v>
      </c>
    </row>
    <row r="702" spans="1:18" hidden="1" x14ac:dyDescent="0.25">
      <c r="A702" t="s">
        <v>1710</v>
      </c>
      <c r="B702" t="s">
        <v>1711</v>
      </c>
      <c r="C702" t="s">
        <v>58</v>
      </c>
      <c r="D702" t="s">
        <v>25</v>
      </c>
      <c r="E702" s="1">
        <v>44932</v>
      </c>
      <c r="F702" t="s">
        <v>36</v>
      </c>
      <c r="G702">
        <v>8042</v>
      </c>
      <c r="H702">
        <v>5884</v>
      </c>
      <c r="I702">
        <v>3.91</v>
      </c>
      <c r="J702">
        <v>37</v>
      </c>
      <c r="Q702">
        <f t="shared" si="690"/>
        <v>325868</v>
      </c>
    </row>
    <row r="703" spans="1:18" hidden="1" x14ac:dyDescent="0.25">
      <c r="A703" t="s">
        <v>1712</v>
      </c>
      <c r="B703" t="s">
        <v>1713</v>
      </c>
      <c r="C703" t="s">
        <v>17</v>
      </c>
      <c r="D703" t="s">
        <v>3</v>
      </c>
      <c r="E703" t="s">
        <v>1665</v>
      </c>
      <c r="F703" t="s">
        <v>11</v>
      </c>
      <c r="G703">
        <v>4253</v>
      </c>
      <c r="H703">
        <v>7291</v>
      </c>
      <c r="I703">
        <v>3.66</v>
      </c>
      <c r="J703">
        <v>113</v>
      </c>
      <c r="Q703">
        <f t="shared" si="690"/>
        <v>325868</v>
      </c>
    </row>
    <row r="704" spans="1:18" x14ac:dyDescent="0.25">
      <c r="A704" t="s">
        <v>1714</v>
      </c>
      <c r="B704" t="s">
        <v>1715</v>
      </c>
      <c r="C704" t="s">
        <v>32</v>
      </c>
      <c r="D704" t="s">
        <v>3</v>
      </c>
      <c r="E704" t="s">
        <v>1645</v>
      </c>
      <c r="F704" t="s">
        <v>5</v>
      </c>
      <c r="G704">
        <v>7568</v>
      </c>
      <c r="H704">
        <v>6300</v>
      </c>
      <c r="I704">
        <v>3.11</v>
      </c>
      <c r="J704">
        <v>25</v>
      </c>
      <c r="K704">
        <f t="shared" ref="K704:K709" ca="1" si="739">IF(F704="Enrolled", TODAY()-E704, "")</f>
        <v>755</v>
      </c>
      <c r="M704">
        <f t="shared" ref="M704:M709" ca="1" si="740">IF(F704="Enrolled",TODAY() - E704,"")</f>
        <v>755</v>
      </c>
      <c r="N704" t="str">
        <f t="shared" ref="N704:N709" si="741">IF(I706&gt;=3.5,"Excellent",IF(I706&gt;=3,"Good",IF(I706&gt;=2,"Average","Poor")))</f>
        <v>Average</v>
      </c>
      <c r="O704" t="e">
        <f t="shared" ref="O704:O709" si="742">VLOOKUP(D704, $T$18:$U$23, 2, FALSE)</f>
        <v>#N/A</v>
      </c>
      <c r="P704" t="str">
        <f t="shared" ref="P704:P709" si="743">IF(H704 &gt; 0.5 * G704, "YES", "NO")</f>
        <v>YES</v>
      </c>
      <c r="Q704">
        <f t="shared" si="690"/>
        <v>325868</v>
      </c>
      <c r="R704" t="str">
        <f t="shared" ref="R704:R709" si="744">IF(MONTH(E698)&gt;=6, YEAR(E698) &amp; "-" &amp; YEAR(E698)+1, YEAR(E698)-1 &amp; "-" &amp; YEAR(E698))</f>
        <v>2021-2022</v>
      </c>
    </row>
    <row r="705" spans="1:18" x14ac:dyDescent="0.25">
      <c r="A705" t="s">
        <v>1716</v>
      </c>
      <c r="B705" t="s">
        <v>1717</v>
      </c>
      <c r="C705" t="s">
        <v>32</v>
      </c>
      <c r="D705" t="s">
        <v>9</v>
      </c>
      <c r="E705" t="s">
        <v>706</v>
      </c>
      <c r="F705" t="s">
        <v>5</v>
      </c>
      <c r="G705">
        <v>12595</v>
      </c>
      <c r="H705">
        <v>5062</v>
      </c>
      <c r="I705">
        <v>2.6</v>
      </c>
      <c r="J705">
        <v>66</v>
      </c>
      <c r="K705">
        <f t="shared" ca="1" si="739"/>
        <v>1023</v>
      </c>
      <c r="M705">
        <f t="shared" ca="1" si="740"/>
        <v>1023</v>
      </c>
      <c r="N705" t="str">
        <f t="shared" si="741"/>
        <v>Average</v>
      </c>
      <c r="O705" t="e">
        <f t="shared" si="742"/>
        <v>#N/A</v>
      </c>
      <c r="P705" t="str">
        <f t="shared" si="743"/>
        <v>NO</v>
      </c>
      <c r="Q705">
        <f t="shared" si="690"/>
        <v>325868</v>
      </c>
      <c r="R705" t="str">
        <f t="shared" si="744"/>
        <v>2023-2024</v>
      </c>
    </row>
    <row r="706" spans="1:18" x14ac:dyDescent="0.25">
      <c r="A706" t="s">
        <v>1718</v>
      </c>
      <c r="B706" t="s">
        <v>1719</v>
      </c>
      <c r="C706" t="s">
        <v>32</v>
      </c>
      <c r="D706" t="s">
        <v>65</v>
      </c>
      <c r="E706" t="s">
        <v>71</v>
      </c>
      <c r="F706" t="s">
        <v>5</v>
      </c>
      <c r="G706">
        <v>13552</v>
      </c>
      <c r="H706">
        <v>9582</v>
      </c>
      <c r="I706">
        <v>2.4300000000000002</v>
      </c>
      <c r="J706">
        <v>10</v>
      </c>
      <c r="K706">
        <f t="shared" ca="1" si="739"/>
        <v>801</v>
      </c>
      <c r="M706">
        <f t="shared" ca="1" si="740"/>
        <v>801</v>
      </c>
      <c r="N706" t="str">
        <f t="shared" si="741"/>
        <v>Average</v>
      </c>
      <c r="O706" t="e">
        <f t="shared" si="742"/>
        <v>#N/A</v>
      </c>
      <c r="P706" t="str">
        <f t="shared" si="743"/>
        <v>YES</v>
      </c>
      <c r="Q706">
        <f t="shared" si="690"/>
        <v>325868</v>
      </c>
      <c r="R706" t="str">
        <f t="shared" si="744"/>
        <v>2024-2025</v>
      </c>
    </row>
    <row r="707" spans="1:18" x14ac:dyDescent="0.25">
      <c r="A707" t="s">
        <v>1720</v>
      </c>
      <c r="B707" t="s">
        <v>1721</v>
      </c>
      <c r="C707" t="s">
        <v>17</v>
      </c>
      <c r="D707" t="s">
        <v>65</v>
      </c>
      <c r="E707" t="s">
        <v>1483</v>
      </c>
      <c r="F707" t="s">
        <v>5</v>
      </c>
      <c r="G707">
        <v>12316</v>
      </c>
      <c r="H707">
        <v>5027</v>
      </c>
      <c r="I707">
        <v>2.77</v>
      </c>
      <c r="J707">
        <v>23</v>
      </c>
      <c r="K707">
        <f t="shared" ca="1" si="739"/>
        <v>783</v>
      </c>
      <c r="M707">
        <f t="shared" ca="1" si="740"/>
        <v>783</v>
      </c>
      <c r="N707" t="str">
        <f t="shared" si="741"/>
        <v>Excellent</v>
      </c>
      <c r="O707" t="e">
        <f t="shared" si="742"/>
        <v>#N/A</v>
      </c>
      <c r="P707" t="str">
        <f t="shared" si="743"/>
        <v>NO</v>
      </c>
      <c r="Q707">
        <f t="shared" si="690"/>
        <v>325868</v>
      </c>
      <c r="R707" t="str">
        <f t="shared" si="744"/>
        <v>2021-2022</v>
      </c>
    </row>
    <row r="708" spans="1:18" x14ac:dyDescent="0.25">
      <c r="A708" t="s">
        <v>1722</v>
      </c>
      <c r="B708" t="s">
        <v>1723</v>
      </c>
      <c r="C708" t="s">
        <v>21</v>
      </c>
      <c r="D708" t="s">
        <v>25</v>
      </c>
      <c r="E708" s="1">
        <v>45021</v>
      </c>
      <c r="F708" t="s">
        <v>5</v>
      </c>
      <c r="G708">
        <v>13723</v>
      </c>
      <c r="H708">
        <v>8461</v>
      </c>
      <c r="I708">
        <v>2.46</v>
      </c>
      <c r="J708">
        <v>58</v>
      </c>
      <c r="K708">
        <f t="shared" ca="1" si="739"/>
        <v>946</v>
      </c>
      <c r="M708">
        <f t="shared" ca="1" si="740"/>
        <v>946</v>
      </c>
      <c r="N708" t="str">
        <f t="shared" si="741"/>
        <v>Average</v>
      </c>
      <c r="O708" t="e">
        <f t="shared" si="742"/>
        <v>#N/A</v>
      </c>
      <c r="P708" t="str">
        <f t="shared" si="743"/>
        <v>YES</v>
      </c>
      <c r="Q708">
        <f t="shared" si="690"/>
        <v>325868</v>
      </c>
      <c r="R708" t="str">
        <f t="shared" si="744"/>
        <v>2022-2023</v>
      </c>
    </row>
    <row r="709" spans="1:18" x14ac:dyDescent="0.25">
      <c r="A709" t="s">
        <v>1724</v>
      </c>
      <c r="B709" t="s">
        <v>1725</v>
      </c>
      <c r="C709" t="s">
        <v>2</v>
      </c>
      <c r="D709" t="s">
        <v>3</v>
      </c>
      <c r="E709" t="s">
        <v>1726</v>
      </c>
      <c r="F709" t="s">
        <v>5</v>
      </c>
      <c r="G709">
        <v>7398</v>
      </c>
      <c r="H709">
        <v>5789</v>
      </c>
      <c r="I709">
        <v>3.81</v>
      </c>
      <c r="J709">
        <v>90</v>
      </c>
      <c r="K709">
        <f t="shared" ca="1" si="739"/>
        <v>1046</v>
      </c>
      <c r="M709">
        <f t="shared" ca="1" si="740"/>
        <v>1046</v>
      </c>
      <c r="N709" t="str">
        <f t="shared" si="741"/>
        <v>Good</v>
      </c>
      <c r="O709" t="e">
        <f t="shared" si="742"/>
        <v>#N/A</v>
      </c>
      <c r="P709" t="str">
        <f t="shared" si="743"/>
        <v>YES</v>
      </c>
      <c r="Q709">
        <f t="shared" si="690"/>
        <v>325868</v>
      </c>
      <c r="R709" t="str">
        <f t="shared" si="744"/>
        <v>2021-2022</v>
      </c>
    </row>
    <row r="710" spans="1:18" hidden="1" x14ac:dyDescent="0.25">
      <c r="A710" t="s">
        <v>1727</v>
      </c>
      <c r="B710" t="s">
        <v>1728</v>
      </c>
      <c r="C710" t="s">
        <v>55</v>
      </c>
      <c r="D710" t="s">
        <v>25</v>
      </c>
      <c r="E710" s="1">
        <v>44938</v>
      </c>
      <c r="F710" t="s">
        <v>11</v>
      </c>
      <c r="G710">
        <v>11190</v>
      </c>
      <c r="H710">
        <v>33</v>
      </c>
      <c r="I710">
        <v>2.81</v>
      </c>
      <c r="J710">
        <v>79</v>
      </c>
      <c r="Q710">
        <f t="shared" si="690"/>
        <v>325868</v>
      </c>
    </row>
    <row r="711" spans="1:18" hidden="1" x14ac:dyDescent="0.25">
      <c r="A711" t="s">
        <v>1729</v>
      </c>
      <c r="B711" t="s">
        <v>1730</v>
      </c>
      <c r="C711" t="s">
        <v>58</v>
      </c>
      <c r="D711" t="s">
        <v>9</v>
      </c>
      <c r="E711" s="1">
        <v>44898</v>
      </c>
      <c r="F711" t="s">
        <v>11</v>
      </c>
      <c r="G711">
        <v>11686</v>
      </c>
      <c r="H711">
        <v>869</v>
      </c>
      <c r="I711">
        <v>3.04</v>
      </c>
      <c r="J711">
        <v>25</v>
      </c>
      <c r="Q711">
        <f t="shared" si="690"/>
        <v>325868</v>
      </c>
    </row>
    <row r="712" spans="1:18" x14ac:dyDescent="0.25">
      <c r="A712" t="s">
        <v>1731</v>
      </c>
      <c r="B712" t="s">
        <v>1732</v>
      </c>
      <c r="C712" t="s">
        <v>21</v>
      </c>
      <c r="D712" t="s">
        <v>25</v>
      </c>
      <c r="E712" t="s">
        <v>1733</v>
      </c>
      <c r="F712" t="s">
        <v>5</v>
      </c>
      <c r="G712">
        <v>10158</v>
      </c>
      <c r="H712">
        <v>9319</v>
      </c>
      <c r="I712">
        <v>3</v>
      </c>
      <c r="J712">
        <v>19</v>
      </c>
      <c r="K712">
        <f t="shared" ref="K712" ca="1" si="745">IF(F712="Enrolled", TODAY()-E712, "")</f>
        <v>694</v>
      </c>
      <c r="M712">
        <f ca="1">IF(F712="Enrolled",TODAY() - E712,"")</f>
        <v>694</v>
      </c>
      <c r="N712" t="str">
        <f>IF(I714&gt;=3.5,"Excellent",IF(I714&gt;=3,"Good",IF(I714&gt;=2,"Average","Poor")))</f>
        <v>Excellent</v>
      </c>
      <c r="O712" t="e">
        <f>VLOOKUP(D712, $T$18:$U$23, 2, FALSE)</f>
        <v>#N/A</v>
      </c>
      <c r="P712" t="str">
        <f t="shared" ref="P712" si="746">IF(H712 &gt; 0.5 * G712, "YES", "NO")</f>
        <v>YES</v>
      </c>
      <c r="Q712">
        <f t="shared" si="690"/>
        <v>314182</v>
      </c>
      <c r="R712" t="str">
        <f t="shared" ref="R712" si="747">IF(MONTH(E706)&gt;=6, YEAR(E706) &amp; "-" &amp; YEAR(E706)+1, YEAR(E706)-1 &amp; "-" &amp; YEAR(E706))</f>
        <v>2023-2024</v>
      </c>
    </row>
    <row r="713" spans="1:18" hidden="1" x14ac:dyDescent="0.25">
      <c r="A713" t="s">
        <v>1734</v>
      </c>
      <c r="B713" t="s">
        <v>1735</v>
      </c>
      <c r="C713" t="s">
        <v>17</v>
      </c>
      <c r="D713" t="s">
        <v>3</v>
      </c>
      <c r="E713" t="s">
        <v>1736</v>
      </c>
      <c r="F713" t="s">
        <v>36</v>
      </c>
      <c r="G713">
        <v>3088</v>
      </c>
      <c r="H713">
        <v>2439</v>
      </c>
      <c r="I713">
        <v>2.4700000000000002</v>
      </c>
      <c r="J713">
        <v>113</v>
      </c>
      <c r="Q713">
        <f t="shared" si="690"/>
        <v>314182</v>
      </c>
    </row>
    <row r="714" spans="1:18" x14ac:dyDescent="0.25">
      <c r="A714" t="s">
        <v>1737</v>
      </c>
      <c r="B714" t="s">
        <v>1738</v>
      </c>
      <c r="C714" t="s">
        <v>2</v>
      </c>
      <c r="D714" t="s">
        <v>9</v>
      </c>
      <c r="E714" t="s">
        <v>1739</v>
      </c>
      <c r="F714" t="s">
        <v>5</v>
      </c>
      <c r="G714">
        <v>2510</v>
      </c>
      <c r="H714">
        <v>8919</v>
      </c>
      <c r="I714">
        <v>3.72</v>
      </c>
      <c r="J714">
        <v>98</v>
      </c>
      <c r="K714">
        <f t="shared" ref="K714" ca="1" si="748">IF(F714="Enrolled", TODAY()-E714, "")</f>
        <v>814</v>
      </c>
      <c r="M714">
        <f ca="1">IF(F714="Enrolled",TODAY() - E714,"")</f>
        <v>814</v>
      </c>
      <c r="N714" t="str">
        <f>IF(I716&gt;=3.5,"Excellent",IF(I716&gt;=3,"Good",IF(I716&gt;=2,"Average","Poor")))</f>
        <v>Excellent</v>
      </c>
      <c r="O714" t="e">
        <f>VLOOKUP(D714, $T$18:$U$23, 2, FALSE)</f>
        <v>#N/A</v>
      </c>
      <c r="P714" t="str">
        <f t="shared" ref="P714" si="749">IF(H714 &gt; 0.5 * G714, "YES", "NO")</f>
        <v>YES</v>
      </c>
      <c r="Q714">
        <f t="shared" si="690"/>
        <v>314182</v>
      </c>
      <c r="R714" t="str">
        <f t="shared" ref="R714" si="750">IF(MONTH(E708)&gt;=6, YEAR(E708) &amp; "-" &amp; YEAR(E708)+1, YEAR(E708)-1 &amp; "-" &amp; YEAR(E708))</f>
        <v>2022-2023</v>
      </c>
    </row>
    <row r="715" spans="1:18" hidden="1" x14ac:dyDescent="0.25">
      <c r="A715" t="s">
        <v>1740</v>
      </c>
      <c r="B715" t="s">
        <v>1741</v>
      </c>
      <c r="C715" t="s">
        <v>55</v>
      </c>
      <c r="D715" t="s">
        <v>25</v>
      </c>
      <c r="E715" t="s">
        <v>1726</v>
      </c>
      <c r="F715" t="s">
        <v>36</v>
      </c>
      <c r="G715">
        <v>2925</v>
      </c>
      <c r="H715">
        <v>3209</v>
      </c>
      <c r="I715">
        <v>2.88</v>
      </c>
      <c r="J715">
        <v>59</v>
      </c>
      <c r="Q715">
        <f t="shared" si="690"/>
        <v>314182</v>
      </c>
    </row>
    <row r="716" spans="1:18" x14ac:dyDescent="0.25">
      <c r="A716" t="s">
        <v>1742</v>
      </c>
      <c r="B716" t="s">
        <v>1743</v>
      </c>
      <c r="C716" t="s">
        <v>21</v>
      </c>
      <c r="D716" t="s">
        <v>3</v>
      </c>
      <c r="E716" s="1">
        <v>44744</v>
      </c>
      <c r="F716" t="s">
        <v>5</v>
      </c>
      <c r="G716">
        <v>10388</v>
      </c>
      <c r="H716">
        <v>2667</v>
      </c>
      <c r="I716">
        <v>3.62</v>
      </c>
      <c r="J716">
        <v>35</v>
      </c>
      <c r="K716">
        <f t="shared" ref="K716" ca="1" si="751">IF(F716="Enrolled", TODAY()-E716, "")</f>
        <v>1223</v>
      </c>
      <c r="M716">
        <f ca="1">IF(F716="Enrolled",TODAY() - E716,"")</f>
        <v>1223</v>
      </c>
      <c r="N716" t="str">
        <f>IF(I718&gt;=3.5,"Excellent",IF(I718&gt;=3,"Good",IF(I718&gt;=2,"Average","Poor")))</f>
        <v>Excellent</v>
      </c>
      <c r="O716" t="e">
        <f>VLOOKUP(D716, $T$18:$U$23, 2, FALSE)</f>
        <v>#N/A</v>
      </c>
      <c r="P716" t="str">
        <f t="shared" ref="P716" si="752">IF(H716 &gt; 0.5 * G716, "YES", "NO")</f>
        <v>NO</v>
      </c>
      <c r="Q716">
        <f t="shared" si="690"/>
        <v>314182</v>
      </c>
      <c r="R716" t="str">
        <f t="shared" ref="R716" si="753">IF(MONTH(E710)&gt;=6, YEAR(E710) &amp; "-" &amp; YEAR(E710)+1, YEAR(E710)-1 &amp; "-" &amp; YEAR(E710))</f>
        <v>2022-2023</v>
      </c>
    </row>
    <row r="717" spans="1:18" hidden="1" x14ac:dyDescent="0.25">
      <c r="A717" t="s">
        <v>1744</v>
      </c>
      <c r="B717" t="s">
        <v>1745</v>
      </c>
      <c r="C717" t="s">
        <v>8</v>
      </c>
      <c r="D717" t="s">
        <v>65</v>
      </c>
      <c r="E717" t="s">
        <v>1746</v>
      </c>
      <c r="F717" t="s">
        <v>11</v>
      </c>
      <c r="G717">
        <v>7318</v>
      </c>
      <c r="H717">
        <v>8381</v>
      </c>
      <c r="I717">
        <v>2.86</v>
      </c>
      <c r="J717">
        <v>88</v>
      </c>
      <c r="Q717">
        <f t="shared" ref="Q717:Q780" si="754">SUMIFS(G717:G1915, F717:F1915, "Completed", D717:D1915, "Science")</f>
        <v>314182</v>
      </c>
    </row>
    <row r="718" spans="1:18" hidden="1" x14ac:dyDescent="0.25">
      <c r="A718" t="s">
        <v>1747</v>
      </c>
      <c r="B718" t="s">
        <v>1748</v>
      </c>
      <c r="C718" t="s">
        <v>32</v>
      </c>
      <c r="D718" t="s">
        <v>25</v>
      </c>
      <c r="E718" t="s">
        <v>1637</v>
      </c>
      <c r="F718" t="s">
        <v>11</v>
      </c>
      <c r="G718">
        <v>9113</v>
      </c>
      <c r="H718">
        <v>5810</v>
      </c>
      <c r="I718">
        <v>3.84</v>
      </c>
      <c r="J718">
        <v>86</v>
      </c>
      <c r="Q718">
        <f t="shared" si="754"/>
        <v>314182</v>
      </c>
    </row>
    <row r="719" spans="1:18" x14ac:dyDescent="0.25">
      <c r="A719" t="s">
        <v>1749</v>
      </c>
      <c r="B719" t="s">
        <v>1750</v>
      </c>
      <c r="C719" t="s">
        <v>32</v>
      </c>
      <c r="D719" t="s">
        <v>65</v>
      </c>
      <c r="E719" s="1">
        <v>44565</v>
      </c>
      <c r="F719" t="s">
        <v>5</v>
      </c>
      <c r="G719">
        <v>6712</v>
      </c>
      <c r="H719">
        <v>1250</v>
      </c>
      <c r="I719">
        <v>2.1800000000000002</v>
      </c>
      <c r="J719">
        <v>10</v>
      </c>
      <c r="K719">
        <f t="shared" ref="K719:K720" ca="1" si="755">IF(F719="Enrolled", TODAY()-E719, "")</f>
        <v>1402</v>
      </c>
      <c r="M719">
        <f t="shared" ref="M719:M720" ca="1" si="756">IF(F719="Enrolled",TODAY() - E719,"")</f>
        <v>1402</v>
      </c>
      <c r="N719" t="str">
        <f t="shared" ref="N719:N720" si="757">IF(I721&gt;=3.5,"Excellent",IF(I721&gt;=3,"Good",IF(I721&gt;=2,"Average","Poor")))</f>
        <v>Good</v>
      </c>
      <c r="O719" t="e">
        <f t="shared" ref="O719:O720" si="758">VLOOKUP(D719, $T$18:$U$23, 2, FALSE)</f>
        <v>#N/A</v>
      </c>
      <c r="P719" t="str">
        <f t="shared" ref="P719:P720" si="759">IF(H719 &gt; 0.5 * G719, "YES", "NO")</f>
        <v>NO</v>
      </c>
      <c r="Q719">
        <f t="shared" si="754"/>
        <v>314182</v>
      </c>
      <c r="R719" t="str">
        <f t="shared" ref="R719:R720" si="760">IF(MONTH(E713)&gt;=6, YEAR(E713) &amp; "-" &amp; YEAR(E713)+1, YEAR(E713)-1 &amp; "-" &amp; YEAR(E713))</f>
        <v>2021-2022</v>
      </c>
    </row>
    <row r="720" spans="1:18" x14ac:dyDescent="0.25">
      <c r="A720" t="s">
        <v>1751</v>
      </c>
      <c r="B720" t="s">
        <v>1752</v>
      </c>
      <c r="C720" t="s">
        <v>58</v>
      </c>
      <c r="D720" t="s">
        <v>65</v>
      </c>
      <c r="E720" s="1">
        <v>45239</v>
      </c>
      <c r="F720" t="s">
        <v>5</v>
      </c>
      <c r="G720">
        <v>3350</v>
      </c>
      <c r="H720">
        <v>107</v>
      </c>
      <c r="I720">
        <v>2.92</v>
      </c>
      <c r="J720">
        <v>109</v>
      </c>
      <c r="K720">
        <f t="shared" ca="1" si="755"/>
        <v>728</v>
      </c>
      <c r="M720">
        <f t="shared" ca="1" si="756"/>
        <v>728</v>
      </c>
      <c r="N720" t="str">
        <f t="shared" si="757"/>
        <v>Good</v>
      </c>
      <c r="O720" t="e">
        <f t="shared" si="758"/>
        <v>#N/A</v>
      </c>
      <c r="P720" t="str">
        <f t="shared" si="759"/>
        <v>NO</v>
      </c>
      <c r="Q720">
        <f t="shared" si="754"/>
        <v>314182</v>
      </c>
      <c r="R720" t="str">
        <f t="shared" si="760"/>
        <v>2023-2024</v>
      </c>
    </row>
    <row r="721" spans="1:18" hidden="1" x14ac:dyDescent="0.25">
      <c r="A721" t="s">
        <v>1753</v>
      </c>
      <c r="B721" t="s">
        <v>1754</v>
      </c>
      <c r="C721" t="s">
        <v>32</v>
      </c>
      <c r="D721" t="s">
        <v>25</v>
      </c>
      <c r="E721" s="1">
        <v>44877</v>
      </c>
      <c r="F721" t="s">
        <v>11</v>
      </c>
      <c r="G721">
        <v>2209</v>
      </c>
      <c r="H721">
        <v>2392</v>
      </c>
      <c r="I721">
        <v>3.49</v>
      </c>
      <c r="J721">
        <v>66</v>
      </c>
      <c r="Q721">
        <f t="shared" si="754"/>
        <v>314182</v>
      </c>
    </row>
    <row r="722" spans="1:18" x14ac:dyDescent="0.25">
      <c r="A722" t="s">
        <v>1755</v>
      </c>
      <c r="B722" t="s">
        <v>1756</v>
      </c>
      <c r="C722" t="s">
        <v>21</v>
      </c>
      <c r="D722" t="s">
        <v>25</v>
      </c>
      <c r="E722" t="s">
        <v>1757</v>
      </c>
      <c r="F722" t="s">
        <v>5</v>
      </c>
      <c r="G722">
        <v>13928</v>
      </c>
      <c r="H722">
        <v>6933</v>
      </c>
      <c r="I722">
        <v>3.37</v>
      </c>
      <c r="J722">
        <v>64</v>
      </c>
      <c r="K722">
        <f t="shared" ref="K722:K724" ca="1" si="761">IF(F722="Enrolled", TODAY()-E722, "")</f>
        <v>1139</v>
      </c>
      <c r="M722">
        <f t="shared" ref="M722:M724" ca="1" si="762">IF(F722="Enrolled",TODAY() - E722,"")</f>
        <v>1139</v>
      </c>
      <c r="N722" t="str">
        <f t="shared" ref="N722:N724" si="763">IF(I724&gt;=3.5,"Excellent",IF(I724&gt;=3,"Good",IF(I724&gt;=2,"Average","Poor")))</f>
        <v>Average</v>
      </c>
      <c r="O722" t="e">
        <f t="shared" ref="O722:O724" si="764">VLOOKUP(D722, $T$18:$U$23, 2, FALSE)</f>
        <v>#N/A</v>
      </c>
      <c r="P722" t="str">
        <f t="shared" ref="P722:P724" si="765">IF(H722 &gt; 0.5 * G722, "YES", "NO")</f>
        <v>NO</v>
      </c>
      <c r="Q722">
        <f t="shared" si="754"/>
        <v>314182</v>
      </c>
      <c r="R722" t="str">
        <f t="shared" ref="R722:R724" si="766">IF(MONTH(E716)&gt;=6, YEAR(E716) &amp; "-" &amp; YEAR(E716)+1, YEAR(E716)-1 &amp; "-" &amp; YEAR(E716))</f>
        <v>2022-2023</v>
      </c>
    </row>
    <row r="723" spans="1:18" x14ac:dyDescent="0.25">
      <c r="A723" t="s">
        <v>1758</v>
      </c>
      <c r="B723" t="s">
        <v>1759</v>
      </c>
      <c r="C723" t="s">
        <v>2</v>
      </c>
      <c r="D723" t="s">
        <v>25</v>
      </c>
      <c r="E723" t="s">
        <v>1472</v>
      </c>
      <c r="F723" t="s">
        <v>5</v>
      </c>
      <c r="G723">
        <v>9516</v>
      </c>
      <c r="H723">
        <v>729</v>
      </c>
      <c r="I723">
        <v>3.16</v>
      </c>
      <c r="J723">
        <v>96</v>
      </c>
      <c r="K723">
        <f t="shared" ca="1" si="761"/>
        <v>740</v>
      </c>
      <c r="M723">
        <f t="shared" ca="1" si="762"/>
        <v>740</v>
      </c>
      <c r="N723" t="str">
        <f t="shared" si="763"/>
        <v>Good</v>
      </c>
      <c r="O723" t="e">
        <f t="shared" si="764"/>
        <v>#N/A</v>
      </c>
      <c r="P723" t="str">
        <f t="shared" si="765"/>
        <v>NO</v>
      </c>
      <c r="Q723">
        <f t="shared" si="754"/>
        <v>314182</v>
      </c>
      <c r="R723" t="str">
        <f t="shared" si="766"/>
        <v>2022-2023</v>
      </c>
    </row>
    <row r="724" spans="1:18" x14ac:dyDescent="0.25">
      <c r="A724" t="s">
        <v>1760</v>
      </c>
      <c r="B724" t="s">
        <v>1761</v>
      </c>
      <c r="C724" t="s">
        <v>32</v>
      </c>
      <c r="D724" t="s">
        <v>65</v>
      </c>
      <c r="E724" t="s">
        <v>1762</v>
      </c>
      <c r="F724" t="s">
        <v>5</v>
      </c>
      <c r="G724">
        <v>5145</v>
      </c>
      <c r="H724">
        <v>6014</v>
      </c>
      <c r="I724">
        <v>2.98</v>
      </c>
      <c r="J724">
        <v>32</v>
      </c>
      <c r="K724">
        <f t="shared" ca="1" si="761"/>
        <v>1376</v>
      </c>
      <c r="M724">
        <f t="shared" ca="1" si="762"/>
        <v>1376</v>
      </c>
      <c r="N724" t="str">
        <f t="shared" si="763"/>
        <v>Excellent</v>
      </c>
      <c r="O724" t="e">
        <f t="shared" si="764"/>
        <v>#N/A</v>
      </c>
      <c r="P724" t="str">
        <f t="shared" si="765"/>
        <v>YES</v>
      </c>
      <c r="Q724">
        <f t="shared" si="754"/>
        <v>314182</v>
      </c>
      <c r="R724" t="str">
        <f t="shared" si="766"/>
        <v>2023-2024</v>
      </c>
    </row>
    <row r="725" spans="1:18" hidden="1" x14ac:dyDescent="0.25">
      <c r="A725" t="s">
        <v>1763</v>
      </c>
      <c r="B725" t="s">
        <v>1764</v>
      </c>
      <c r="C725" t="s">
        <v>21</v>
      </c>
      <c r="D725" t="s">
        <v>3</v>
      </c>
      <c r="E725" t="s">
        <v>1405</v>
      </c>
      <c r="F725" t="s">
        <v>11</v>
      </c>
      <c r="G725">
        <v>6799</v>
      </c>
      <c r="H725">
        <v>1246</v>
      </c>
      <c r="I725">
        <v>3.07</v>
      </c>
      <c r="J725">
        <v>45</v>
      </c>
      <c r="Q725">
        <f t="shared" si="754"/>
        <v>314182</v>
      </c>
    </row>
    <row r="726" spans="1:18" x14ac:dyDescent="0.25">
      <c r="A726" t="s">
        <v>1765</v>
      </c>
      <c r="B726" t="s">
        <v>1766</v>
      </c>
      <c r="C726" t="s">
        <v>55</v>
      </c>
      <c r="D726" t="s">
        <v>9</v>
      </c>
      <c r="E726" t="s">
        <v>463</v>
      </c>
      <c r="F726" t="s">
        <v>5</v>
      </c>
      <c r="G726">
        <v>7388</v>
      </c>
      <c r="H726">
        <v>9272</v>
      </c>
      <c r="I726">
        <v>3.7</v>
      </c>
      <c r="J726">
        <v>118</v>
      </c>
      <c r="K726">
        <f t="shared" ref="K726:K727" ca="1" si="767">IF(F726="Enrolled", TODAY()-E726, "")</f>
        <v>1011</v>
      </c>
      <c r="M726">
        <f t="shared" ref="M726:M727" ca="1" si="768">IF(F726="Enrolled",TODAY() - E726,"")</f>
        <v>1011</v>
      </c>
      <c r="N726" t="str">
        <f t="shared" ref="N726:N727" si="769">IF(I728&gt;=3.5,"Excellent",IF(I728&gt;=3,"Good",IF(I728&gt;=2,"Average","Poor")))</f>
        <v>Average</v>
      </c>
      <c r="O726" t="e">
        <f t="shared" ref="O726:O727" si="770">VLOOKUP(D726, $T$18:$U$23, 2, FALSE)</f>
        <v>#N/A</v>
      </c>
      <c r="P726" t="str">
        <f t="shared" ref="P726:P727" si="771">IF(H726 &gt; 0.5 * G726, "YES", "NO")</f>
        <v>YES</v>
      </c>
      <c r="Q726">
        <f t="shared" si="754"/>
        <v>314182</v>
      </c>
      <c r="R726" t="str">
        <f t="shared" ref="R726:R727" si="772">IF(MONTH(E720)&gt;=6, YEAR(E720) &amp; "-" &amp; YEAR(E720)+1, YEAR(E720)-1 &amp; "-" &amp; YEAR(E720))</f>
        <v>2023-2024</v>
      </c>
    </row>
    <row r="727" spans="1:18" x14ac:dyDescent="0.25">
      <c r="A727" t="s">
        <v>1767</v>
      </c>
      <c r="B727" t="s">
        <v>1768</v>
      </c>
      <c r="C727" t="s">
        <v>2</v>
      </c>
      <c r="D727" t="s">
        <v>25</v>
      </c>
      <c r="E727" t="s">
        <v>914</v>
      </c>
      <c r="F727" t="s">
        <v>5</v>
      </c>
      <c r="G727">
        <v>2383</v>
      </c>
      <c r="H727">
        <v>1670</v>
      </c>
      <c r="I727">
        <v>2.82</v>
      </c>
      <c r="J727">
        <v>8</v>
      </c>
      <c r="K727">
        <f t="shared" ca="1" si="767"/>
        <v>678</v>
      </c>
      <c r="M727">
        <f t="shared" ca="1" si="768"/>
        <v>678</v>
      </c>
      <c r="N727" t="str">
        <f t="shared" si="769"/>
        <v>Excellent</v>
      </c>
      <c r="O727" t="e">
        <f t="shared" si="770"/>
        <v>#N/A</v>
      </c>
      <c r="P727" t="str">
        <f t="shared" si="771"/>
        <v>YES</v>
      </c>
      <c r="Q727">
        <f t="shared" si="754"/>
        <v>314182</v>
      </c>
      <c r="R727" t="str">
        <f t="shared" si="772"/>
        <v>2022-2023</v>
      </c>
    </row>
    <row r="728" spans="1:18" hidden="1" x14ac:dyDescent="0.25">
      <c r="A728" t="s">
        <v>1769</v>
      </c>
      <c r="B728" t="s">
        <v>1770</v>
      </c>
      <c r="C728" t="s">
        <v>55</v>
      </c>
      <c r="D728" t="s">
        <v>9</v>
      </c>
      <c r="E728" t="s">
        <v>420</v>
      </c>
      <c r="F728" t="s">
        <v>11</v>
      </c>
      <c r="G728">
        <v>7853</v>
      </c>
      <c r="H728">
        <v>8847</v>
      </c>
      <c r="I728">
        <v>2.4300000000000002</v>
      </c>
      <c r="J728">
        <v>4</v>
      </c>
      <c r="Q728">
        <f t="shared" si="754"/>
        <v>314182</v>
      </c>
    </row>
    <row r="729" spans="1:18" x14ac:dyDescent="0.25">
      <c r="A729" t="s">
        <v>1771</v>
      </c>
      <c r="B729" t="s">
        <v>1772</v>
      </c>
      <c r="C729" t="s">
        <v>32</v>
      </c>
      <c r="D729" t="s">
        <v>3</v>
      </c>
      <c r="E729" s="1">
        <v>45295</v>
      </c>
      <c r="F729" t="s">
        <v>5</v>
      </c>
      <c r="G729">
        <v>12713</v>
      </c>
      <c r="H729">
        <v>352</v>
      </c>
      <c r="I729">
        <v>3.92</v>
      </c>
      <c r="J729">
        <v>95</v>
      </c>
      <c r="K729">
        <f t="shared" ref="K729" ca="1" si="773">IF(F729="Enrolled", TODAY()-E729, "")</f>
        <v>672</v>
      </c>
      <c r="M729">
        <f ca="1">IF(F729="Enrolled",TODAY() - E729,"")</f>
        <v>672</v>
      </c>
      <c r="N729" t="str">
        <f>IF(I731&gt;=3.5,"Excellent",IF(I731&gt;=3,"Good",IF(I731&gt;=2,"Average","Poor")))</f>
        <v>Good</v>
      </c>
      <c r="O729" t="e">
        <f>VLOOKUP(D729, $T$18:$U$23, 2, FALSE)</f>
        <v>#N/A</v>
      </c>
      <c r="P729" t="str">
        <f t="shared" ref="P729" si="774">IF(H729 &gt; 0.5 * G729, "YES", "NO")</f>
        <v>NO</v>
      </c>
      <c r="Q729">
        <f t="shared" si="754"/>
        <v>306329</v>
      </c>
      <c r="R729" t="str">
        <f t="shared" ref="R729" si="775">IF(MONTH(E723)&gt;=6, YEAR(E723) &amp; "-" &amp; YEAR(E723)+1, YEAR(E723)-1 &amp; "-" &amp; YEAR(E723))</f>
        <v>2023-2024</v>
      </c>
    </row>
    <row r="730" spans="1:18" hidden="1" x14ac:dyDescent="0.25">
      <c r="A730" t="s">
        <v>1773</v>
      </c>
      <c r="B730" t="s">
        <v>1774</v>
      </c>
      <c r="C730" t="s">
        <v>58</v>
      </c>
      <c r="D730" t="s">
        <v>65</v>
      </c>
      <c r="E730" t="s">
        <v>1326</v>
      </c>
      <c r="F730" t="s">
        <v>11</v>
      </c>
      <c r="G730">
        <v>4256</v>
      </c>
      <c r="H730">
        <v>1159</v>
      </c>
      <c r="I730">
        <v>2.89</v>
      </c>
      <c r="J730">
        <v>32</v>
      </c>
      <c r="Q730">
        <f t="shared" si="754"/>
        <v>306329</v>
      </c>
    </row>
    <row r="731" spans="1:18" x14ac:dyDescent="0.25">
      <c r="A731" t="s">
        <v>1775</v>
      </c>
      <c r="B731" t="s">
        <v>1776</v>
      </c>
      <c r="C731" t="s">
        <v>32</v>
      </c>
      <c r="D731" t="s">
        <v>25</v>
      </c>
      <c r="E731" t="s">
        <v>94</v>
      </c>
      <c r="F731" t="s">
        <v>5</v>
      </c>
      <c r="G731">
        <v>9110</v>
      </c>
      <c r="H731">
        <v>7109</v>
      </c>
      <c r="I731">
        <v>3.07</v>
      </c>
      <c r="J731">
        <v>103</v>
      </c>
      <c r="K731">
        <f t="shared" ref="K731" ca="1" si="776">IF(F731="Enrolled", TODAY()-E731, "")</f>
        <v>1136</v>
      </c>
      <c r="M731">
        <f ca="1">IF(F731="Enrolled",TODAY() - E731,"")</f>
        <v>1136</v>
      </c>
      <c r="N731" t="str">
        <f>IF(I733&gt;=3.5,"Excellent",IF(I733&gt;=3,"Good",IF(I733&gt;=2,"Average","Poor")))</f>
        <v>Good</v>
      </c>
      <c r="O731" t="e">
        <f>VLOOKUP(D731, $T$18:$U$23, 2, FALSE)</f>
        <v>#N/A</v>
      </c>
      <c r="P731" t="str">
        <f t="shared" ref="P731" si="777">IF(H731 &gt; 0.5 * G731, "YES", "NO")</f>
        <v>YES</v>
      </c>
      <c r="Q731">
        <f t="shared" si="754"/>
        <v>306329</v>
      </c>
      <c r="R731" t="str">
        <f t="shared" ref="R731" si="778">IF(MONTH(E725)&gt;=6, YEAR(E725) &amp; "-" &amp; YEAR(E725)+1, YEAR(E725)-1 &amp; "-" &amp; YEAR(E725))</f>
        <v>2022-2023</v>
      </c>
    </row>
    <row r="732" spans="1:18" hidden="1" x14ac:dyDescent="0.25">
      <c r="A732" t="s">
        <v>1777</v>
      </c>
      <c r="B732" t="s">
        <v>1778</v>
      </c>
      <c r="C732" t="s">
        <v>21</v>
      </c>
      <c r="D732" t="s">
        <v>9</v>
      </c>
      <c r="E732" t="s">
        <v>1779</v>
      </c>
      <c r="F732" t="s">
        <v>36</v>
      </c>
      <c r="G732">
        <v>3316</v>
      </c>
      <c r="H732">
        <v>7822</v>
      </c>
      <c r="I732">
        <v>2.2799999999999998</v>
      </c>
      <c r="J732">
        <v>110</v>
      </c>
      <c r="Q732">
        <f t="shared" si="754"/>
        <v>306329</v>
      </c>
    </row>
    <row r="733" spans="1:18" x14ac:dyDescent="0.25">
      <c r="A733" t="s">
        <v>1780</v>
      </c>
      <c r="B733" t="s">
        <v>1781</v>
      </c>
      <c r="C733" t="s">
        <v>8</v>
      </c>
      <c r="D733" t="s">
        <v>65</v>
      </c>
      <c r="E733" s="1">
        <v>45536</v>
      </c>
      <c r="F733" t="s">
        <v>5</v>
      </c>
      <c r="G733">
        <v>5395</v>
      </c>
      <c r="H733">
        <v>4845</v>
      </c>
      <c r="I733">
        <v>3.29</v>
      </c>
      <c r="J733">
        <v>50</v>
      </c>
      <c r="K733">
        <f t="shared" ref="K733:K734" ca="1" si="779">IF(F733="Enrolled", TODAY()-E733, "")</f>
        <v>431</v>
      </c>
      <c r="M733">
        <f t="shared" ref="M733:M734" ca="1" si="780">IF(F733="Enrolled",TODAY() - E733,"")</f>
        <v>431</v>
      </c>
      <c r="N733" t="str">
        <f t="shared" ref="N733:N734" si="781">IF(I735&gt;=3.5,"Excellent",IF(I735&gt;=3,"Good",IF(I735&gt;=2,"Average","Poor")))</f>
        <v>Excellent</v>
      </c>
      <c r="O733" t="e">
        <f t="shared" ref="O733:O734" si="782">VLOOKUP(D733, $T$18:$U$23, 2, FALSE)</f>
        <v>#N/A</v>
      </c>
      <c r="P733" t="str">
        <f t="shared" ref="P733:P734" si="783">IF(H733 &gt; 0.5 * G733, "YES", "NO")</f>
        <v>YES</v>
      </c>
      <c r="Q733">
        <f t="shared" si="754"/>
        <v>306329</v>
      </c>
      <c r="R733" t="str">
        <f t="shared" ref="R733:R734" si="784">IF(MONTH(E727)&gt;=6, YEAR(E727) &amp; "-" &amp; YEAR(E727)+1, YEAR(E727)-1 &amp; "-" &amp; YEAR(E727))</f>
        <v>2023-2024</v>
      </c>
    </row>
    <row r="734" spans="1:18" x14ac:dyDescent="0.25">
      <c r="A734" t="s">
        <v>1782</v>
      </c>
      <c r="B734" t="s">
        <v>1783</v>
      </c>
      <c r="C734" t="s">
        <v>2</v>
      </c>
      <c r="D734" t="s">
        <v>65</v>
      </c>
      <c r="E734" s="1">
        <v>45293</v>
      </c>
      <c r="F734" t="s">
        <v>5</v>
      </c>
      <c r="G734">
        <v>13318</v>
      </c>
      <c r="H734">
        <v>4842</v>
      </c>
      <c r="I734">
        <v>3.79</v>
      </c>
      <c r="J734">
        <v>45</v>
      </c>
      <c r="K734">
        <f t="shared" ca="1" si="779"/>
        <v>674</v>
      </c>
      <c r="M734">
        <f t="shared" ca="1" si="780"/>
        <v>674</v>
      </c>
      <c r="N734" t="str">
        <f t="shared" si="781"/>
        <v>Average</v>
      </c>
      <c r="O734" t="e">
        <f t="shared" si="782"/>
        <v>#N/A</v>
      </c>
      <c r="P734" t="str">
        <f t="shared" si="783"/>
        <v>NO</v>
      </c>
      <c r="Q734">
        <f t="shared" si="754"/>
        <v>306329</v>
      </c>
      <c r="R734" t="str">
        <f t="shared" si="784"/>
        <v>2021-2022</v>
      </c>
    </row>
    <row r="735" spans="1:18" hidden="1" x14ac:dyDescent="0.25">
      <c r="A735" t="s">
        <v>1784</v>
      </c>
      <c r="B735" t="s">
        <v>1785</v>
      </c>
      <c r="C735" t="s">
        <v>21</v>
      </c>
      <c r="D735" t="s">
        <v>3</v>
      </c>
      <c r="E735" t="s">
        <v>1786</v>
      </c>
      <c r="F735" t="s">
        <v>11</v>
      </c>
      <c r="G735">
        <v>6241</v>
      </c>
      <c r="H735">
        <v>5128</v>
      </c>
      <c r="I735">
        <v>3.92</v>
      </c>
      <c r="J735">
        <v>111</v>
      </c>
      <c r="Q735">
        <f t="shared" si="754"/>
        <v>306329</v>
      </c>
    </row>
    <row r="736" spans="1:18" x14ac:dyDescent="0.25">
      <c r="A736" t="s">
        <v>1787</v>
      </c>
      <c r="B736" t="s">
        <v>1788</v>
      </c>
      <c r="C736" t="s">
        <v>58</v>
      </c>
      <c r="D736" t="s">
        <v>9</v>
      </c>
      <c r="E736" t="s">
        <v>834</v>
      </c>
      <c r="F736" t="s">
        <v>5</v>
      </c>
      <c r="G736">
        <v>8037</v>
      </c>
      <c r="H736">
        <v>3076</v>
      </c>
      <c r="I736">
        <v>2.75</v>
      </c>
      <c r="J736">
        <v>28</v>
      </c>
      <c r="K736">
        <f t="shared" ref="K736:K750" ca="1" si="785">IF(F736="Enrolled", TODAY()-E736, "")</f>
        <v>1389</v>
      </c>
      <c r="M736">
        <f t="shared" ref="M736:M750" ca="1" si="786">IF(F736="Enrolled",TODAY() - E736,"")</f>
        <v>1389</v>
      </c>
      <c r="N736" t="str">
        <f t="shared" ref="N736:N750" si="787">IF(I738&gt;=3.5,"Excellent",IF(I738&gt;=3,"Good",IF(I738&gt;=2,"Average","Poor")))</f>
        <v>Average</v>
      </c>
      <c r="O736" t="e">
        <f t="shared" ref="O736:O750" si="788">VLOOKUP(D736, $T$18:$U$23, 2, FALSE)</f>
        <v>#N/A</v>
      </c>
      <c r="P736" t="str">
        <f t="shared" ref="P736:P750" si="789">IF(H736 &gt; 0.5 * G736, "YES", "NO")</f>
        <v>NO</v>
      </c>
      <c r="Q736">
        <f t="shared" si="754"/>
        <v>306329</v>
      </c>
      <c r="R736" t="str">
        <f t="shared" ref="R736:R750" si="790">IF(MONTH(E730)&gt;=6, YEAR(E730) &amp; "-" &amp; YEAR(E730)+1, YEAR(E730)-1 &amp; "-" &amp; YEAR(E730))</f>
        <v>2022-2023</v>
      </c>
    </row>
    <row r="737" spans="1:18" x14ac:dyDescent="0.25">
      <c r="A737" t="s">
        <v>1789</v>
      </c>
      <c r="B737" t="s">
        <v>1790</v>
      </c>
      <c r="C737" t="s">
        <v>55</v>
      </c>
      <c r="D737" t="s">
        <v>9</v>
      </c>
      <c r="E737" t="s">
        <v>1791</v>
      </c>
      <c r="F737" t="s">
        <v>5</v>
      </c>
      <c r="G737">
        <v>10127</v>
      </c>
      <c r="H737">
        <v>4309</v>
      </c>
      <c r="I737">
        <v>3.84</v>
      </c>
      <c r="J737">
        <v>89</v>
      </c>
      <c r="K737">
        <f t="shared" ca="1" si="785"/>
        <v>1236</v>
      </c>
      <c r="M737">
        <f t="shared" ca="1" si="786"/>
        <v>1236</v>
      </c>
      <c r="N737" t="str">
        <f t="shared" si="787"/>
        <v>Excellent</v>
      </c>
      <c r="O737" t="e">
        <f t="shared" si="788"/>
        <v>#N/A</v>
      </c>
      <c r="P737" t="str">
        <f t="shared" si="789"/>
        <v>NO</v>
      </c>
      <c r="Q737">
        <f t="shared" si="754"/>
        <v>306329</v>
      </c>
      <c r="R737" t="str">
        <f t="shared" si="790"/>
        <v>2022-2023</v>
      </c>
    </row>
    <row r="738" spans="1:18" x14ac:dyDescent="0.25">
      <c r="A738" t="s">
        <v>1792</v>
      </c>
      <c r="B738" t="s">
        <v>1793</v>
      </c>
      <c r="C738" t="s">
        <v>2</v>
      </c>
      <c r="D738" t="s">
        <v>65</v>
      </c>
      <c r="E738" t="s">
        <v>846</v>
      </c>
      <c r="F738" t="s">
        <v>5</v>
      </c>
      <c r="G738">
        <v>12789</v>
      </c>
      <c r="H738">
        <v>311</v>
      </c>
      <c r="I738">
        <v>2.92</v>
      </c>
      <c r="J738">
        <v>90</v>
      </c>
      <c r="K738">
        <f t="shared" ca="1" si="785"/>
        <v>992</v>
      </c>
      <c r="M738">
        <f t="shared" ca="1" si="786"/>
        <v>992</v>
      </c>
      <c r="N738" t="str">
        <f t="shared" si="787"/>
        <v>Average</v>
      </c>
      <c r="O738" t="e">
        <f t="shared" si="788"/>
        <v>#N/A</v>
      </c>
      <c r="P738" t="str">
        <f t="shared" si="789"/>
        <v>NO</v>
      </c>
      <c r="Q738">
        <f t="shared" si="754"/>
        <v>306329</v>
      </c>
      <c r="R738" t="str">
        <f t="shared" si="790"/>
        <v>2022-2023</v>
      </c>
    </row>
    <row r="739" spans="1:18" x14ac:dyDescent="0.25">
      <c r="A739" t="s">
        <v>1794</v>
      </c>
      <c r="B739" t="s">
        <v>1795</v>
      </c>
      <c r="C739" t="s">
        <v>58</v>
      </c>
      <c r="D739" t="s">
        <v>3</v>
      </c>
      <c r="E739" s="1">
        <v>44748</v>
      </c>
      <c r="F739" t="s">
        <v>5</v>
      </c>
      <c r="G739">
        <v>10155</v>
      </c>
      <c r="H739">
        <v>9072</v>
      </c>
      <c r="I739">
        <v>3.99</v>
      </c>
      <c r="J739">
        <v>38</v>
      </c>
      <c r="K739">
        <f t="shared" ca="1" si="785"/>
        <v>1219</v>
      </c>
      <c r="M739">
        <f t="shared" ca="1" si="786"/>
        <v>1219</v>
      </c>
      <c r="N739" t="str">
        <f t="shared" si="787"/>
        <v>Excellent</v>
      </c>
      <c r="O739" t="e">
        <f t="shared" si="788"/>
        <v>#N/A</v>
      </c>
      <c r="P739" t="str">
        <f t="shared" si="789"/>
        <v>YES</v>
      </c>
      <c r="Q739">
        <f t="shared" si="754"/>
        <v>306329</v>
      </c>
      <c r="R739" t="str">
        <f t="shared" si="790"/>
        <v>2024-2025</v>
      </c>
    </row>
    <row r="740" spans="1:18" x14ac:dyDescent="0.25">
      <c r="A740" t="s">
        <v>1796</v>
      </c>
      <c r="B740" t="s">
        <v>1797</v>
      </c>
      <c r="C740" t="s">
        <v>58</v>
      </c>
      <c r="D740" t="s">
        <v>25</v>
      </c>
      <c r="E740" t="s">
        <v>846</v>
      </c>
      <c r="F740" t="s">
        <v>5</v>
      </c>
      <c r="G740">
        <v>6971</v>
      </c>
      <c r="H740">
        <v>6639</v>
      </c>
      <c r="I740">
        <v>2.6</v>
      </c>
      <c r="J740">
        <v>54</v>
      </c>
      <c r="K740">
        <f t="shared" ca="1" si="785"/>
        <v>992</v>
      </c>
      <c r="M740">
        <f t="shared" ca="1" si="786"/>
        <v>992</v>
      </c>
      <c r="N740" t="str">
        <f t="shared" si="787"/>
        <v>Excellent</v>
      </c>
      <c r="O740" t="e">
        <f t="shared" si="788"/>
        <v>#N/A</v>
      </c>
      <c r="P740" t="str">
        <f t="shared" si="789"/>
        <v>YES</v>
      </c>
      <c r="Q740">
        <f t="shared" si="754"/>
        <v>306329</v>
      </c>
      <c r="R740" t="str">
        <f t="shared" si="790"/>
        <v>2023-2024</v>
      </c>
    </row>
    <row r="741" spans="1:18" x14ac:dyDescent="0.25">
      <c r="A741" t="s">
        <v>1798</v>
      </c>
      <c r="B741" t="s">
        <v>1799</v>
      </c>
      <c r="C741" t="s">
        <v>58</v>
      </c>
      <c r="D741" t="s">
        <v>3</v>
      </c>
      <c r="E741" s="1">
        <v>44653</v>
      </c>
      <c r="F741" t="s">
        <v>5</v>
      </c>
      <c r="G741">
        <v>9877</v>
      </c>
      <c r="H741">
        <v>1236</v>
      </c>
      <c r="I741">
        <v>3.69</v>
      </c>
      <c r="J741">
        <v>25</v>
      </c>
      <c r="K741">
        <f t="shared" ca="1" si="785"/>
        <v>1314</v>
      </c>
      <c r="M741">
        <f t="shared" ca="1" si="786"/>
        <v>1314</v>
      </c>
      <c r="N741" t="str">
        <f t="shared" si="787"/>
        <v>Average</v>
      </c>
      <c r="O741" t="e">
        <f t="shared" si="788"/>
        <v>#N/A</v>
      </c>
      <c r="P741" t="str">
        <f t="shared" si="789"/>
        <v>NO</v>
      </c>
      <c r="Q741">
        <f t="shared" si="754"/>
        <v>306329</v>
      </c>
      <c r="R741" t="str">
        <f t="shared" si="790"/>
        <v>2022-2023</v>
      </c>
    </row>
    <row r="742" spans="1:18" x14ac:dyDescent="0.25">
      <c r="A742" t="s">
        <v>1800</v>
      </c>
      <c r="B742" t="s">
        <v>1801</v>
      </c>
      <c r="C742" t="s">
        <v>8</v>
      </c>
      <c r="D742" t="s">
        <v>9</v>
      </c>
      <c r="E742" s="1">
        <v>45176</v>
      </c>
      <c r="F742" t="s">
        <v>5</v>
      </c>
      <c r="G742">
        <v>9561</v>
      </c>
      <c r="H742">
        <v>5098</v>
      </c>
      <c r="I742">
        <v>3.79</v>
      </c>
      <c r="J742">
        <v>68</v>
      </c>
      <c r="K742">
        <f t="shared" ca="1" si="785"/>
        <v>791</v>
      </c>
      <c r="M742">
        <f t="shared" ca="1" si="786"/>
        <v>791</v>
      </c>
      <c r="N742" t="str">
        <f t="shared" si="787"/>
        <v>Excellent</v>
      </c>
      <c r="O742" t="e">
        <f t="shared" si="788"/>
        <v>#N/A</v>
      </c>
      <c r="P742" t="str">
        <f t="shared" si="789"/>
        <v>YES</v>
      </c>
      <c r="Q742">
        <f t="shared" si="754"/>
        <v>306329</v>
      </c>
      <c r="R742" t="str">
        <f t="shared" si="790"/>
        <v>2021-2022</v>
      </c>
    </row>
    <row r="743" spans="1:18" x14ac:dyDescent="0.25">
      <c r="A743" t="s">
        <v>1802</v>
      </c>
      <c r="B743" t="s">
        <v>1803</v>
      </c>
      <c r="C743" t="s">
        <v>58</v>
      </c>
      <c r="D743" t="s">
        <v>3</v>
      </c>
      <c r="E743" t="s">
        <v>1804</v>
      </c>
      <c r="F743" t="s">
        <v>5</v>
      </c>
      <c r="G743">
        <v>6012</v>
      </c>
      <c r="H743">
        <v>965</v>
      </c>
      <c r="I743">
        <v>2.27</v>
      </c>
      <c r="J743">
        <v>50</v>
      </c>
      <c r="K743">
        <f t="shared" ca="1" si="785"/>
        <v>1270</v>
      </c>
      <c r="M743">
        <f t="shared" ca="1" si="786"/>
        <v>1270</v>
      </c>
      <c r="N743" t="str">
        <f t="shared" si="787"/>
        <v>Average</v>
      </c>
      <c r="O743" t="e">
        <f t="shared" si="788"/>
        <v>#N/A</v>
      </c>
      <c r="P743" t="str">
        <f t="shared" si="789"/>
        <v>NO</v>
      </c>
      <c r="Q743">
        <f t="shared" si="754"/>
        <v>306329</v>
      </c>
      <c r="R743" t="str">
        <f t="shared" si="790"/>
        <v>2022-2023</v>
      </c>
    </row>
    <row r="744" spans="1:18" x14ac:dyDescent="0.25">
      <c r="A744" t="s">
        <v>1805</v>
      </c>
      <c r="B744" t="s">
        <v>1806</v>
      </c>
      <c r="C744" t="s">
        <v>17</v>
      </c>
      <c r="D744" t="s">
        <v>3</v>
      </c>
      <c r="E744" s="1">
        <v>45207</v>
      </c>
      <c r="F744" t="s">
        <v>5</v>
      </c>
      <c r="G744">
        <v>12717</v>
      </c>
      <c r="H744">
        <v>5005</v>
      </c>
      <c r="I744">
        <v>3.55</v>
      </c>
      <c r="J744">
        <v>61</v>
      </c>
      <c r="K744">
        <f t="shared" ca="1" si="785"/>
        <v>760</v>
      </c>
      <c r="M744">
        <f t="shared" ca="1" si="786"/>
        <v>760</v>
      </c>
      <c r="N744" t="str">
        <f t="shared" si="787"/>
        <v>Good</v>
      </c>
      <c r="O744" t="e">
        <f t="shared" si="788"/>
        <v>#N/A</v>
      </c>
      <c r="P744" t="str">
        <f t="shared" si="789"/>
        <v>NO</v>
      </c>
      <c r="Q744">
        <f t="shared" si="754"/>
        <v>306329</v>
      </c>
      <c r="R744" t="str">
        <f t="shared" si="790"/>
        <v>2022-2023</v>
      </c>
    </row>
    <row r="745" spans="1:18" x14ac:dyDescent="0.25">
      <c r="A745" t="s">
        <v>1807</v>
      </c>
      <c r="B745" t="s">
        <v>1808</v>
      </c>
      <c r="C745" t="s">
        <v>21</v>
      </c>
      <c r="D745" t="s">
        <v>9</v>
      </c>
      <c r="E745" t="s">
        <v>862</v>
      </c>
      <c r="F745" t="s">
        <v>5</v>
      </c>
      <c r="G745">
        <v>5344</v>
      </c>
      <c r="H745">
        <v>2596</v>
      </c>
      <c r="I745">
        <v>2.97</v>
      </c>
      <c r="J745">
        <v>108</v>
      </c>
      <c r="K745">
        <f t="shared" ca="1" si="785"/>
        <v>905</v>
      </c>
      <c r="M745">
        <f t="shared" ca="1" si="786"/>
        <v>905</v>
      </c>
      <c r="N745" t="str">
        <f t="shared" si="787"/>
        <v>Excellent</v>
      </c>
      <c r="O745" t="e">
        <f t="shared" si="788"/>
        <v>#N/A</v>
      </c>
      <c r="P745" t="str">
        <f t="shared" si="789"/>
        <v>NO</v>
      </c>
      <c r="Q745">
        <f t="shared" si="754"/>
        <v>306329</v>
      </c>
      <c r="R745" t="str">
        <f t="shared" si="790"/>
        <v>2022-2023</v>
      </c>
    </row>
    <row r="746" spans="1:18" x14ac:dyDescent="0.25">
      <c r="A746" t="s">
        <v>1809</v>
      </c>
      <c r="B746" t="s">
        <v>1810</v>
      </c>
      <c r="C746" t="s">
        <v>55</v>
      </c>
      <c r="D746" t="s">
        <v>65</v>
      </c>
      <c r="E746" t="s">
        <v>1811</v>
      </c>
      <c r="F746" t="s">
        <v>5</v>
      </c>
      <c r="G746">
        <v>2025</v>
      </c>
      <c r="H746">
        <v>1760</v>
      </c>
      <c r="I746">
        <v>3.27</v>
      </c>
      <c r="J746">
        <v>23</v>
      </c>
      <c r="K746">
        <f t="shared" ca="1" si="785"/>
        <v>1163</v>
      </c>
      <c r="M746">
        <f t="shared" ca="1" si="786"/>
        <v>1163</v>
      </c>
      <c r="N746" t="str">
        <f t="shared" si="787"/>
        <v>Average</v>
      </c>
      <c r="O746" t="e">
        <f t="shared" si="788"/>
        <v>#N/A</v>
      </c>
      <c r="P746" t="str">
        <f t="shared" si="789"/>
        <v>YES</v>
      </c>
      <c r="Q746">
        <f t="shared" si="754"/>
        <v>306329</v>
      </c>
      <c r="R746" t="str">
        <f t="shared" si="790"/>
        <v>2022-2023</v>
      </c>
    </row>
    <row r="747" spans="1:18" x14ac:dyDescent="0.25">
      <c r="A747" t="s">
        <v>1812</v>
      </c>
      <c r="B747" t="s">
        <v>1813</v>
      </c>
      <c r="C747" t="s">
        <v>8</v>
      </c>
      <c r="D747" t="s">
        <v>25</v>
      </c>
      <c r="E747" t="s">
        <v>1814</v>
      </c>
      <c r="F747" t="s">
        <v>5</v>
      </c>
      <c r="G747">
        <v>13185</v>
      </c>
      <c r="H747">
        <v>8241</v>
      </c>
      <c r="I747">
        <v>3.51</v>
      </c>
      <c r="J747">
        <v>55</v>
      </c>
      <c r="K747">
        <f t="shared" ca="1" si="785"/>
        <v>1116</v>
      </c>
      <c r="M747">
        <f t="shared" ca="1" si="786"/>
        <v>1116</v>
      </c>
      <c r="N747" t="str">
        <f t="shared" si="787"/>
        <v>Average</v>
      </c>
      <c r="O747" t="e">
        <f t="shared" si="788"/>
        <v>#N/A</v>
      </c>
      <c r="P747" t="str">
        <f t="shared" si="789"/>
        <v>YES</v>
      </c>
      <c r="Q747">
        <f t="shared" si="754"/>
        <v>306329</v>
      </c>
      <c r="R747" t="str">
        <f t="shared" si="790"/>
        <v>2021-2022</v>
      </c>
    </row>
    <row r="748" spans="1:18" x14ac:dyDescent="0.25">
      <c r="A748" t="s">
        <v>1815</v>
      </c>
      <c r="B748" t="s">
        <v>1816</v>
      </c>
      <c r="C748" t="s">
        <v>58</v>
      </c>
      <c r="D748" t="s">
        <v>3</v>
      </c>
      <c r="E748" t="s">
        <v>309</v>
      </c>
      <c r="F748" t="s">
        <v>5</v>
      </c>
      <c r="G748">
        <v>3683</v>
      </c>
      <c r="H748">
        <v>377</v>
      </c>
      <c r="I748">
        <v>2.8</v>
      </c>
      <c r="J748">
        <v>9</v>
      </c>
      <c r="K748">
        <f t="shared" ca="1" si="785"/>
        <v>598</v>
      </c>
      <c r="M748">
        <f t="shared" ca="1" si="786"/>
        <v>598</v>
      </c>
      <c r="N748" t="str">
        <f t="shared" si="787"/>
        <v>Excellent</v>
      </c>
      <c r="O748" t="e">
        <f t="shared" si="788"/>
        <v>#N/A</v>
      </c>
      <c r="P748" t="str">
        <f t="shared" si="789"/>
        <v>NO</v>
      </c>
      <c r="Q748">
        <f t="shared" si="754"/>
        <v>306329</v>
      </c>
      <c r="R748" t="str">
        <f t="shared" si="790"/>
        <v>2023-2024</v>
      </c>
    </row>
    <row r="749" spans="1:18" x14ac:dyDescent="0.25">
      <c r="A749" t="s">
        <v>1817</v>
      </c>
      <c r="B749" t="s">
        <v>1818</v>
      </c>
      <c r="C749" t="s">
        <v>8</v>
      </c>
      <c r="D749" t="s">
        <v>65</v>
      </c>
      <c r="E749" s="1">
        <v>45205</v>
      </c>
      <c r="F749" t="s">
        <v>5</v>
      </c>
      <c r="G749">
        <v>6337</v>
      </c>
      <c r="H749">
        <v>3748</v>
      </c>
      <c r="I749">
        <v>2.79</v>
      </c>
      <c r="J749">
        <v>38</v>
      </c>
      <c r="K749">
        <f t="shared" ca="1" si="785"/>
        <v>762</v>
      </c>
      <c r="M749">
        <f t="shared" ca="1" si="786"/>
        <v>762</v>
      </c>
      <c r="N749" t="str">
        <f t="shared" si="787"/>
        <v>Average</v>
      </c>
      <c r="O749" t="e">
        <f t="shared" si="788"/>
        <v>#N/A</v>
      </c>
      <c r="P749" t="str">
        <f t="shared" si="789"/>
        <v>YES</v>
      </c>
      <c r="Q749">
        <f t="shared" si="754"/>
        <v>306329</v>
      </c>
      <c r="R749" t="str">
        <f t="shared" si="790"/>
        <v>2021-2022</v>
      </c>
    </row>
    <row r="750" spans="1:18" x14ac:dyDescent="0.25">
      <c r="A750" t="s">
        <v>1819</v>
      </c>
      <c r="B750" t="s">
        <v>1820</v>
      </c>
      <c r="C750" t="s">
        <v>21</v>
      </c>
      <c r="D750" t="s">
        <v>3</v>
      </c>
      <c r="E750" t="s">
        <v>227</v>
      </c>
      <c r="F750" t="s">
        <v>5</v>
      </c>
      <c r="G750">
        <v>10576</v>
      </c>
      <c r="H750">
        <v>4900</v>
      </c>
      <c r="I750">
        <v>3.87</v>
      </c>
      <c r="J750">
        <v>12</v>
      </c>
      <c r="K750">
        <f t="shared" ca="1" si="785"/>
        <v>1143</v>
      </c>
      <c r="M750">
        <f t="shared" ca="1" si="786"/>
        <v>1143</v>
      </c>
      <c r="N750" t="str">
        <f t="shared" si="787"/>
        <v>Average</v>
      </c>
      <c r="O750" t="e">
        <f t="shared" si="788"/>
        <v>#N/A</v>
      </c>
      <c r="P750" t="str">
        <f t="shared" si="789"/>
        <v>NO</v>
      </c>
      <c r="Q750">
        <f t="shared" si="754"/>
        <v>306329</v>
      </c>
      <c r="R750" t="str">
        <f t="shared" si="790"/>
        <v>2023-2024</v>
      </c>
    </row>
    <row r="751" spans="1:18" hidden="1" x14ac:dyDescent="0.25">
      <c r="A751" t="s">
        <v>1821</v>
      </c>
      <c r="B751" t="s">
        <v>1822</v>
      </c>
      <c r="C751" t="s">
        <v>58</v>
      </c>
      <c r="D751" t="s">
        <v>25</v>
      </c>
      <c r="E751" s="1">
        <v>45052</v>
      </c>
      <c r="F751" t="s">
        <v>11</v>
      </c>
      <c r="G751">
        <v>13691</v>
      </c>
      <c r="H751">
        <v>883</v>
      </c>
      <c r="I751">
        <v>2.06</v>
      </c>
      <c r="J751">
        <v>76</v>
      </c>
      <c r="Q751">
        <f t="shared" si="754"/>
        <v>306329</v>
      </c>
    </row>
    <row r="752" spans="1:18" x14ac:dyDescent="0.25">
      <c r="A752" t="s">
        <v>1823</v>
      </c>
      <c r="B752" t="s">
        <v>1824</v>
      </c>
      <c r="C752" t="s">
        <v>58</v>
      </c>
      <c r="D752" t="s">
        <v>9</v>
      </c>
      <c r="E752" t="s">
        <v>114</v>
      </c>
      <c r="F752" t="s">
        <v>5</v>
      </c>
      <c r="G752">
        <v>10341</v>
      </c>
      <c r="H752">
        <v>7548</v>
      </c>
      <c r="I752">
        <v>2.59</v>
      </c>
      <c r="J752">
        <v>55</v>
      </c>
      <c r="K752">
        <f t="shared" ref="K752:K756" ca="1" si="791">IF(F752="Enrolled", TODAY()-E752, "")</f>
        <v>588</v>
      </c>
      <c r="M752">
        <f t="shared" ref="M752:M756" ca="1" si="792">IF(F752="Enrolled",TODAY() - E752,"")</f>
        <v>588</v>
      </c>
      <c r="N752" t="str">
        <f t="shared" ref="N752:N756" si="793">IF(I754&gt;=3.5,"Excellent",IF(I754&gt;=3,"Good",IF(I754&gt;=2,"Average","Poor")))</f>
        <v>Excellent</v>
      </c>
      <c r="O752" t="e">
        <f t="shared" ref="O752:O756" si="794">VLOOKUP(D752, $T$18:$U$23, 2, FALSE)</f>
        <v>#N/A</v>
      </c>
      <c r="P752" t="str">
        <f t="shared" ref="P752:P756" si="795">IF(H752 &gt; 0.5 * G752, "YES", "NO")</f>
        <v>YES</v>
      </c>
      <c r="Q752">
        <f t="shared" si="754"/>
        <v>306329</v>
      </c>
      <c r="R752" t="str">
        <f t="shared" ref="R752:R756" si="796">IF(MONTH(E746)&gt;=6, YEAR(E746) &amp; "-" &amp; YEAR(E746)+1, YEAR(E746)-1 &amp; "-" &amp; YEAR(E746))</f>
        <v>2022-2023</v>
      </c>
    </row>
    <row r="753" spans="1:18" x14ac:dyDescent="0.25">
      <c r="A753" t="s">
        <v>1825</v>
      </c>
      <c r="B753" t="s">
        <v>1826</v>
      </c>
      <c r="C753" t="s">
        <v>58</v>
      </c>
      <c r="D753" t="s">
        <v>9</v>
      </c>
      <c r="E753" s="1">
        <v>44896</v>
      </c>
      <c r="F753" t="s">
        <v>5</v>
      </c>
      <c r="G753">
        <v>6833</v>
      </c>
      <c r="H753">
        <v>3054</v>
      </c>
      <c r="I753">
        <v>3.59</v>
      </c>
      <c r="J753">
        <v>100</v>
      </c>
      <c r="K753">
        <f t="shared" ca="1" si="791"/>
        <v>1071</v>
      </c>
      <c r="M753">
        <f t="shared" ca="1" si="792"/>
        <v>1071</v>
      </c>
      <c r="N753" t="str">
        <f t="shared" si="793"/>
        <v>Average</v>
      </c>
      <c r="O753" t="e">
        <f t="shared" si="794"/>
        <v>#N/A</v>
      </c>
      <c r="P753" t="str">
        <f t="shared" si="795"/>
        <v>NO</v>
      </c>
      <c r="Q753">
        <f t="shared" si="754"/>
        <v>306329</v>
      </c>
      <c r="R753" t="str">
        <f t="shared" si="796"/>
        <v>2022-2023</v>
      </c>
    </row>
    <row r="754" spans="1:18" x14ac:dyDescent="0.25">
      <c r="A754" t="s">
        <v>1827</v>
      </c>
      <c r="B754" t="s">
        <v>1828</v>
      </c>
      <c r="C754" t="s">
        <v>14</v>
      </c>
      <c r="D754" t="s">
        <v>65</v>
      </c>
      <c r="E754" s="1">
        <v>45536</v>
      </c>
      <c r="F754" t="s">
        <v>5</v>
      </c>
      <c r="G754">
        <v>11055</v>
      </c>
      <c r="H754">
        <v>9037</v>
      </c>
      <c r="I754">
        <v>3.57</v>
      </c>
      <c r="J754">
        <v>60</v>
      </c>
      <c r="K754">
        <f t="shared" ca="1" si="791"/>
        <v>431</v>
      </c>
      <c r="M754">
        <f t="shared" ca="1" si="792"/>
        <v>431</v>
      </c>
      <c r="N754" t="str">
        <f t="shared" si="793"/>
        <v>Average</v>
      </c>
      <c r="O754" t="e">
        <f t="shared" si="794"/>
        <v>#N/A</v>
      </c>
      <c r="P754" t="str">
        <f t="shared" si="795"/>
        <v>YES</v>
      </c>
      <c r="Q754">
        <f t="shared" si="754"/>
        <v>306329</v>
      </c>
      <c r="R754" t="str">
        <f t="shared" si="796"/>
        <v>2023-2024</v>
      </c>
    </row>
    <row r="755" spans="1:18" x14ac:dyDescent="0.25">
      <c r="A755" t="s">
        <v>1829</v>
      </c>
      <c r="B755" t="s">
        <v>1830</v>
      </c>
      <c r="C755" t="s">
        <v>58</v>
      </c>
      <c r="D755" t="s">
        <v>65</v>
      </c>
      <c r="E755" t="s">
        <v>529</v>
      </c>
      <c r="F755" t="s">
        <v>5</v>
      </c>
      <c r="G755">
        <v>4932</v>
      </c>
      <c r="H755">
        <v>5140</v>
      </c>
      <c r="I755">
        <v>2.15</v>
      </c>
      <c r="J755">
        <v>16</v>
      </c>
      <c r="K755">
        <f t="shared" ca="1" si="791"/>
        <v>1072</v>
      </c>
      <c r="M755">
        <f t="shared" ca="1" si="792"/>
        <v>1072</v>
      </c>
      <c r="N755" t="str">
        <f t="shared" si="793"/>
        <v>Excellent</v>
      </c>
      <c r="O755" t="e">
        <f t="shared" si="794"/>
        <v>#N/A</v>
      </c>
      <c r="P755" t="str">
        <f t="shared" si="795"/>
        <v>YES</v>
      </c>
      <c r="Q755">
        <f t="shared" si="754"/>
        <v>306329</v>
      </c>
      <c r="R755" t="str">
        <f t="shared" si="796"/>
        <v>2023-2024</v>
      </c>
    </row>
    <row r="756" spans="1:18" x14ac:dyDescent="0.25">
      <c r="A756" t="s">
        <v>1831</v>
      </c>
      <c r="B756" t="s">
        <v>1832</v>
      </c>
      <c r="C756" t="s">
        <v>14</v>
      </c>
      <c r="D756" t="s">
        <v>65</v>
      </c>
      <c r="E756" s="1">
        <v>45297</v>
      </c>
      <c r="F756" t="s">
        <v>5</v>
      </c>
      <c r="G756">
        <v>11129</v>
      </c>
      <c r="H756">
        <v>7535</v>
      </c>
      <c r="I756">
        <v>2.5499999999999998</v>
      </c>
      <c r="J756">
        <v>103</v>
      </c>
      <c r="K756">
        <f t="shared" ca="1" si="791"/>
        <v>670</v>
      </c>
      <c r="M756">
        <f t="shared" ca="1" si="792"/>
        <v>670</v>
      </c>
      <c r="N756" t="str">
        <f t="shared" si="793"/>
        <v>Average</v>
      </c>
      <c r="O756" t="e">
        <f t="shared" si="794"/>
        <v>#N/A</v>
      </c>
      <c r="P756" t="str">
        <f t="shared" si="795"/>
        <v>YES</v>
      </c>
      <c r="Q756">
        <f t="shared" si="754"/>
        <v>306329</v>
      </c>
      <c r="R756" t="str">
        <f t="shared" si="796"/>
        <v>2022-2023</v>
      </c>
    </row>
    <row r="757" spans="1:18" hidden="1" x14ac:dyDescent="0.25">
      <c r="A757" t="s">
        <v>1833</v>
      </c>
      <c r="B757" t="s">
        <v>1834</v>
      </c>
      <c r="C757" t="s">
        <v>21</v>
      </c>
      <c r="D757" t="s">
        <v>3</v>
      </c>
      <c r="E757" t="s">
        <v>1835</v>
      </c>
      <c r="F757" t="s">
        <v>36</v>
      </c>
      <c r="G757">
        <v>6819</v>
      </c>
      <c r="H757">
        <v>1912</v>
      </c>
      <c r="I757">
        <v>3.5</v>
      </c>
      <c r="J757">
        <v>106</v>
      </c>
      <c r="Q757">
        <f t="shared" si="754"/>
        <v>306329</v>
      </c>
    </row>
    <row r="758" spans="1:18" hidden="1" x14ac:dyDescent="0.25">
      <c r="A758" t="s">
        <v>1836</v>
      </c>
      <c r="B758" t="s">
        <v>1837</v>
      </c>
      <c r="C758" t="s">
        <v>21</v>
      </c>
      <c r="D758" t="s">
        <v>3</v>
      </c>
      <c r="E758" s="1">
        <v>44814</v>
      </c>
      <c r="F758" t="s">
        <v>11</v>
      </c>
      <c r="G758">
        <v>2016</v>
      </c>
      <c r="H758">
        <v>3726</v>
      </c>
      <c r="I758">
        <v>2.34</v>
      </c>
      <c r="J758">
        <v>68</v>
      </c>
      <c r="Q758">
        <f t="shared" si="754"/>
        <v>306329</v>
      </c>
    </row>
    <row r="759" spans="1:18" hidden="1" x14ac:dyDescent="0.25">
      <c r="A759" t="s">
        <v>1838</v>
      </c>
      <c r="B759" t="s">
        <v>1839</v>
      </c>
      <c r="C759" t="s">
        <v>58</v>
      </c>
      <c r="D759" t="s">
        <v>25</v>
      </c>
      <c r="E759" s="1">
        <v>44686</v>
      </c>
      <c r="F759" t="s">
        <v>11</v>
      </c>
      <c r="G759">
        <v>4792</v>
      </c>
      <c r="H759">
        <v>8258</v>
      </c>
      <c r="I759">
        <v>2.34</v>
      </c>
      <c r="J759">
        <v>62</v>
      </c>
      <c r="Q759">
        <f t="shared" si="754"/>
        <v>306329</v>
      </c>
    </row>
    <row r="760" spans="1:18" hidden="1" x14ac:dyDescent="0.25">
      <c r="A760" t="s">
        <v>1840</v>
      </c>
      <c r="B760" t="s">
        <v>1841</v>
      </c>
      <c r="C760" t="s">
        <v>58</v>
      </c>
      <c r="D760" t="s">
        <v>25</v>
      </c>
      <c r="E760" s="1">
        <v>44567</v>
      </c>
      <c r="F760" t="s">
        <v>11</v>
      </c>
      <c r="G760">
        <v>11623</v>
      </c>
      <c r="H760">
        <v>4266</v>
      </c>
      <c r="I760">
        <v>2.66</v>
      </c>
      <c r="J760">
        <v>104</v>
      </c>
      <c r="Q760">
        <f t="shared" si="754"/>
        <v>306329</v>
      </c>
    </row>
    <row r="761" spans="1:18" x14ac:dyDescent="0.25">
      <c r="A761" t="s">
        <v>1842</v>
      </c>
      <c r="B761" t="s">
        <v>1843</v>
      </c>
      <c r="C761" t="s">
        <v>17</v>
      </c>
      <c r="D761" t="s">
        <v>25</v>
      </c>
      <c r="E761" t="s">
        <v>1116</v>
      </c>
      <c r="F761" t="s">
        <v>5</v>
      </c>
      <c r="G761">
        <v>8319</v>
      </c>
      <c r="H761">
        <v>8308</v>
      </c>
      <c r="I761">
        <v>2.27</v>
      </c>
      <c r="J761">
        <v>50</v>
      </c>
      <c r="K761">
        <f t="shared" ref="K761:K767" ca="1" si="797">IF(F761="Enrolled", TODAY()-E761, "")</f>
        <v>1055</v>
      </c>
      <c r="M761">
        <f t="shared" ref="M761:M767" ca="1" si="798">IF(F761="Enrolled",TODAY() - E761,"")</f>
        <v>1055</v>
      </c>
      <c r="N761" t="str">
        <f t="shared" ref="N761:N767" si="799">IF(I763&gt;=3.5,"Excellent",IF(I763&gt;=3,"Good",IF(I763&gt;=2,"Average","Poor")))</f>
        <v>Excellent</v>
      </c>
      <c r="O761" t="e">
        <f t="shared" ref="O761:O767" si="800">VLOOKUP(D761, $T$18:$U$23, 2, FALSE)</f>
        <v>#N/A</v>
      </c>
      <c r="P761" t="str">
        <f t="shared" ref="P761:P767" si="801">IF(H761 &gt; 0.5 * G761, "YES", "NO")</f>
        <v>YES</v>
      </c>
      <c r="Q761">
        <f t="shared" si="754"/>
        <v>306329</v>
      </c>
      <c r="R761" t="str">
        <f t="shared" ref="R761:R767" si="802">IF(MONTH(E755)&gt;=6, YEAR(E755) &amp; "-" &amp; YEAR(E755)+1, YEAR(E755)-1 &amp; "-" &amp; YEAR(E755))</f>
        <v>2022-2023</v>
      </c>
    </row>
    <row r="762" spans="1:18" x14ac:dyDescent="0.25">
      <c r="A762" t="s">
        <v>1844</v>
      </c>
      <c r="B762" t="s">
        <v>1845</v>
      </c>
      <c r="C762" t="s">
        <v>2</v>
      </c>
      <c r="D762" t="s">
        <v>3</v>
      </c>
      <c r="E762" t="s">
        <v>1846</v>
      </c>
      <c r="F762" t="s">
        <v>5</v>
      </c>
      <c r="G762">
        <v>8191</v>
      </c>
      <c r="H762">
        <v>3306</v>
      </c>
      <c r="I762">
        <v>2.2400000000000002</v>
      </c>
      <c r="J762">
        <v>73</v>
      </c>
      <c r="K762">
        <f t="shared" ca="1" si="797"/>
        <v>922</v>
      </c>
      <c r="M762">
        <f t="shared" ca="1" si="798"/>
        <v>922</v>
      </c>
      <c r="N762" t="str">
        <f t="shared" si="799"/>
        <v>Good</v>
      </c>
      <c r="O762" t="e">
        <f t="shared" si="800"/>
        <v>#N/A</v>
      </c>
      <c r="P762" t="str">
        <f t="shared" si="801"/>
        <v>NO</v>
      </c>
      <c r="Q762">
        <f t="shared" si="754"/>
        <v>306329</v>
      </c>
      <c r="R762" t="str">
        <f t="shared" si="802"/>
        <v>2023-2024</v>
      </c>
    </row>
    <row r="763" spans="1:18" x14ac:dyDescent="0.25">
      <c r="A763" t="s">
        <v>1847</v>
      </c>
      <c r="B763" t="s">
        <v>1848</v>
      </c>
      <c r="C763" t="s">
        <v>14</v>
      </c>
      <c r="D763" t="s">
        <v>3</v>
      </c>
      <c r="E763" t="s">
        <v>559</v>
      </c>
      <c r="F763" t="s">
        <v>5</v>
      </c>
      <c r="G763">
        <v>7244</v>
      </c>
      <c r="H763">
        <v>2886</v>
      </c>
      <c r="I763">
        <v>3.52</v>
      </c>
      <c r="J763">
        <v>57</v>
      </c>
      <c r="K763">
        <f t="shared" ca="1" si="797"/>
        <v>1165</v>
      </c>
      <c r="M763">
        <f t="shared" ca="1" si="798"/>
        <v>1165</v>
      </c>
      <c r="N763" t="str">
        <f t="shared" si="799"/>
        <v>Good</v>
      </c>
      <c r="O763" t="e">
        <f t="shared" si="800"/>
        <v>#N/A</v>
      </c>
      <c r="P763" t="str">
        <f t="shared" si="801"/>
        <v>NO</v>
      </c>
      <c r="Q763">
        <f t="shared" si="754"/>
        <v>306329</v>
      </c>
      <c r="R763" t="str">
        <f t="shared" si="802"/>
        <v>2022-2023</v>
      </c>
    </row>
    <row r="764" spans="1:18" x14ac:dyDescent="0.25">
      <c r="A764" t="s">
        <v>1849</v>
      </c>
      <c r="B764" t="s">
        <v>1850</v>
      </c>
      <c r="C764" t="s">
        <v>17</v>
      </c>
      <c r="D764" t="s">
        <v>3</v>
      </c>
      <c r="E764" t="s">
        <v>1851</v>
      </c>
      <c r="F764" t="s">
        <v>5</v>
      </c>
      <c r="G764">
        <v>9367</v>
      </c>
      <c r="H764">
        <v>4635</v>
      </c>
      <c r="I764">
        <v>3.44</v>
      </c>
      <c r="J764">
        <v>74</v>
      </c>
      <c r="K764">
        <f t="shared" ca="1" si="797"/>
        <v>1180</v>
      </c>
      <c r="M764">
        <f t="shared" ca="1" si="798"/>
        <v>1180</v>
      </c>
      <c r="N764" t="str">
        <f t="shared" si="799"/>
        <v>Average</v>
      </c>
      <c r="O764" t="e">
        <f t="shared" si="800"/>
        <v>#N/A</v>
      </c>
      <c r="P764" t="str">
        <f t="shared" si="801"/>
        <v>NO</v>
      </c>
      <c r="Q764">
        <f t="shared" si="754"/>
        <v>306329</v>
      </c>
      <c r="R764" t="str">
        <f t="shared" si="802"/>
        <v>2022-2023</v>
      </c>
    </row>
    <row r="765" spans="1:18" x14ac:dyDescent="0.25">
      <c r="A765" t="s">
        <v>1852</v>
      </c>
      <c r="B765" t="s">
        <v>1853</v>
      </c>
      <c r="C765" t="s">
        <v>17</v>
      </c>
      <c r="D765" t="s">
        <v>3</v>
      </c>
      <c r="E765" t="s">
        <v>1854</v>
      </c>
      <c r="F765" t="s">
        <v>5</v>
      </c>
      <c r="G765">
        <v>10808</v>
      </c>
      <c r="H765">
        <v>7607</v>
      </c>
      <c r="I765">
        <v>3.05</v>
      </c>
      <c r="J765">
        <v>0</v>
      </c>
      <c r="K765">
        <f t="shared" ca="1" si="797"/>
        <v>656</v>
      </c>
      <c r="M765">
        <f t="shared" ca="1" si="798"/>
        <v>656</v>
      </c>
      <c r="N765" t="str">
        <f t="shared" si="799"/>
        <v>Average</v>
      </c>
      <c r="O765" t="e">
        <f t="shared" si="800"/>
        <v>#N/A</v>
      </c>
      <c r="P765" t="str">
        <f t="shared" si="801"/>
        <v>YES</v>
      </c>
      <c r="Q765">
        <f t="shared" si="754"/>
        <v>306329</v>
      </c>
      <c r="R765" t="str">
        <f t="shared" si="802"/>
        <v>2021-2022</v>
      </c>
    </row>
    <row r="766" spans="1:18" x14ac:dyDescent="0.25">
      <c r="A766" t="s">
        <v>1855</v>
      </c>
      <c r="B766" t="s">
        <v>1856</v>
      </c>
      <c r="C766" t="s">
        <v>21</v>
      </c>
      <c r="D766" t="s">
        <v>3</v>
      </c>
      <c r="E766" t="s">
        <v>1857</v>
      </c>
      <c r="F766" t="s">
        <v>5</v>
      </c>
      <c r="G766">
        <v>8446</v>
      </c>
      <c r="H766">
        <v>1368</v>
      </c>
      <c r="I766">
        <v>2.1</v>
      </c>
      <c r="J766">
        <v>112</v>
      </c>
      <c r="K766">
        <f t="shared" ca="1" si="797"/>
        <v>964</v>
      </c>
      <c r="M766">
        <f t="shared" ca="1" si="798"/>
        <v>964</v>
      </c>
      <c r="N766" t="str">
        <f t="shared" si="799"/>
        <v>Average</v>
      </c>
      <c r="O766" t="e">
        <f t="shared" si="800"/>
        <v>#N/A</v>
      </c>
      <c r="P766" t="str">
        <f t="shared" si="801"/>
        <v>NO</v>
      </c>
      <c r="Q766">
        <f t="shared" si="754"/>
        <v>306329</v>
      </c>
      <c r="R766" t="str">
        <f t="shared" si="802"/>
        <v>2021-2022</v>
      </c>
    </row>
    <row r="767" spans="1:18" x14ac:dyDescent="0.25">
      <c r="A767" t="s">
        <v>1858</v>
      </c>
      <c r="B767" t="s">
        <v>1859</v>
      </c>
      <c r="C767" t="s">
        <v>21</v>
      </c>
      <c r="D767" t="s">
        <v>3</v>
      </c>
      <c r="E767" t="s">
        <v>1677</v>
      </c>
      <c r="F767" t="s">
        <v>5</v>
      </c>
      <c r="G767">
        <v>2490</v>
      </c>
      <c r="H767">
        <v>8720</v>
      </c>
      <c r="I767">
        <v>2.14</v>
      </c>
      <c r="J767">
        <v>12</v>
      </c>
      <c r="K767">
        <f t="shared" ca="1" si="797"/>
        <v>682</v>
      </c>
      <c r="M767">
        <f t="shared" ca="1" si="798"/>
        <v>682</v>
      </c>
      <c r="N767" t="str">
        <f t="shared" si="799"/>
        <v>Average</v>
      </c>
      <c r="O767" t="e">
        <f t="shared" si="800"/>
        <v>#N/A</v>
      </c>
      <c r="P767" t="str">
        <f t="shared" si="801"/>
        <v>YES</v>
      </c>
      <c r="Q767">
        <f t="shared" si="754"/>
        <v>306329</v>
      </c>
      <c r="R767" t="str">
        <f t="shared" si="802"/>
        <v>2022-2023</v>
      </c>
    </row>
    <row r="768" spans="1:18" hidden="1" x14ac:dyDescent="0.25">
      <c r="A768" t="s">
        <v>1860</v>
      </c>
      <c r="B768" t="s">
        <v>1861</v>
      </c>
      <c r="C768" t="s">
        <v>14</v>
      </c>
      <c r="D768" t="s">
        <v>25</v>
      </c>
      <c r="E768" t="s">
        <v>790</v>
      </c>
      <c r="F768" t="s">
        <v>11</v>
      </c>
      <c r="G768">
        <v>11291</v>
      </c>
      <c r="H768">
        <v>3997</v>
      </c>
      <c r="I768">
        <v>2.1</v>
      </c>
      <c r="J768">
        <v>74</v>
      </c>
      <c r="Q768">
        <f t="shared" si="754"/>
        <v>306329</v>
      </c>
    </row>
    <row r="769" spans="1:18" x14ac:dyDescent="0.25">
      <c r="A769" t="s">
        <v>1862</v>
      </c>
      <c r="B769" t="s">
        <v>1863</v>
      </c>
      <c r="C769" t="s">
        <v>21</v>
      </c>
      <c r="D769" t="s">
        <v>9</v>
      </c>
      <c r="E769" t="s">
        <v>227</v>
      </c>
      <c r="F769" t="s">
        <v>5</v>
      </c>
      <c r="G769">
        <v>4470</v>
      </c>
      <c r="H769">
        <v>5720</v>
      </c>
      <c r="I769">
        <v>2.62</v>
      </c>
      <c r="J769">
        <v>24</v>
      </c>
      <c r="K769">
        <f t="shared" ref="K769" ca="1" si="803">IF(F769="Enrolled", TODAY()-E769, "")</f>
        <v>1143</v>
      </c>
      <c r="M769">
        <f ca="1">IF(F769="Enrolled",TODAY() - E769,"")</f>
        <v>1143</v>
      </c>
      <c r="N769" t="str">
        <f>IF(I771&gt;=3.5,"Excellent",IF(I771&gt;=3,"Good",IF(I771&gt;=2,"Average","Poor")))</f>
        <v>Good</v>
      </c>
      <c r="O769" t="e">
        <f>VLOOKUP(D769, $T$18:$U$23, 2, FALSE)</f>
        <v>#N/A</v>
      </c>
      <c r="P769" t="str">
        <f t="shared" ref="P769" si="804">IF(H769 &gt; 0.5 * G769, "YES", "NO")</f>
        <v>YES</v>
      </c>
      <c r="Q769">
        <f t="shared" si="754"/>
        <v>306329</v>
      </c>
      <c r="R769" t="str">
        <f t="shared" ref="R769" si="805">IF(MONTH(E763)&gt;=6, YEAR(E763) &amp; "-" &amp; YEAR(E763)+1, YEAR(E763)-1 &amp; "-" &amp; YEAR(E763))</f>
        <v>2022-2023</v>
      </c>
    </row>
    <row r="770" spans="1:18" hidden="1" x14ac:dyDescent="0.25">
      <c r="A770" t="s">
        <v>1864</v>
      </c>
      <c r="B770" t="s">
        <v>1865</v>
      </c>
      <c r="C770" t="s">
        <v>14</v>
      </c>
      <c r="D770" t="s">
        <v>65</v>
      </c>
      <c r="E770" t="s">
        <v>295</v>
      </c>
      <c r="F770" t="s">
        <v>36</v>
      </c>
      <c r="G770">
        <v>8068</v>
      </c>
      <c r="H770">
        <v>1190</v>
      </c>
      <c r="I770">
        <v>3.28</v>
      </c>
      <c r="J770">
        <v>39</v>
      </c>
      <c r="Q770">
        <f t="shared" si="754"/>
        <v>306329</v>
      </c>
    </row>
    <row r="771" spans="1:18" hidden="1" x14ac:dyDescent="0.25">
      <c r="A771" t="s">
        <v>1866</v>
      </c>
      <c r="B771" t="s">
        <v>1867</v>
      </c>
      <c r="C771" t="s">
        <v>55</v>
      </c>
      <c r="D771" t="s">
        <v>9</v>
      </c>
      <c r="E771" t="s">
        <v>759</v>
      </c>
      <c r="F771" t="s">
        <v>11</v>
      </c>
      <c r="G771">
        <v>2556</v>
      </c>
      <c r="H771">
        <v>3049</v>
      </c>
      <c r="I771">
        <v>3.23</v>
      </c>
      <c r="J771">
        <v>66</v>
      </c>
      <c r="Q771">
        <f t="shared" si="754"/>
        <v>306329</v>
      </c>
    </row>
    <row r="772" spans="1:18" hidden="1" x14ac:dyDescent="0.25">
      <c r="A772" t="s">
        <v>1868</v>
      </c>
      <c r="B772" t="s">
        <v>1869</v>
      </c>
      <c r="C772" t="s">
        <v>8</v>
      </c>
      <c r="D772" t="s">
        <v>25</v>
      </c>
      <c r="E772" s="1">
        <v>45087</v>
      </c>
      <c r="F772" t="s">
        <v>11</v>
      </c>
      <c r="G772">
        <v>13388</v>
      </c>
      <c r="H772">
        <v>4708</v>
      </c>
      <c r="I772">
        <v>2.65</v>
      </c>
      <c r="J772">
        <v>114</v>
      </c>
      <c r="Q772">
        <f t="shared" si="754"/>
        <v>303773</v>
      </c>
    </row>
    <row r="773" spans="1:18" x14ac:dyDescent="0.25">
      <c r="A773" t="s">
        <v>1870</v>
      </c>
      <c r="B773" t="s">
        <v>1871</v>
      </c>
      <c r="C773" t="s">
        <v>14</v>
      </c>
      <c r="D773" t="s">
        <v>3</v>
      </c>
      <c r="E773" t="s">
        <v>314</v>
      </c>
      <c r="F773" t="s">
        <v>5</v>
      </c>
      <c r="G773">
        <v>8490</v>
      </c>
      <c r="H773">
        <v>5406</v>
      </c>
      <c r="I773">
        <v>3.29</v>
      </c>
      <c r="J773">
        <v>51</v>
      </c>
      <c r="K773">
        <f t="shared" ref="K773:K774" ca="1" si="806">IF(F773="Enrolled", TODAY()-E773, "")</f>
        <v>617</v>
      </c>
      <c r="M773">
        <f t="shared" ref="M773:M774" ca="1" si="807">IF(F773="Enrolled",TODAY() - E773,"")</f>
        <v>617</v>
      </c>
      <c r="N773" t="str">
        <f t="shared" ref="N773:N774" si="808">IF(I775&gt;=3.5,"Excellent",IF(I775&gt;=3,"Good",IF(I775&gt;=2,"Average","Poor")))</f>
        <v>Average</v>
      </c>
      <c r="O773" t="e">
        <f t="shared" ref="O773:O774" si="809">VLOOKUP(D773, $T$18:$U$23, 2, FALSE)</f>
        <v>#N/A</v>
      </c>
      <c r="P773" t="str">
        <f t="shared" ref="P773:P774" si="810">IF(H773 &gt; 0.5 * G773, "YES", "NO")</f>
        <v>YES</v>
      </c>
      <c r="Q773">
        <f t="shared" si="754"/>
        <v>303773</v>
      </c>
      <c r="R773" t="str">
        <f t="shared" ref="R773:R774" si="811">IF(MONTH(E767)&gt;=6, YEAR(E767) &amp; "-" &amp; YEAR(E767)+1, YEAR(E767)-1 &amp; "-" &amp; YEAR(E767))</f>
        <v>2023-2024</v>
      </c>
    </row>
    <row r="774" spans="1:18" x14ac:dyDescent="0.25">
      <c r="A774" t="s">
        <v>1872</v>
      </c>
      <c r="B774" t="s">
        <v>1873</v>
      </c>
      <c r="C774" t="s">
        <v>8</v>
      </c>
      <c r="D774" t="s">
        <v>25</v>
      </c>
      <c r="E774" s="1">
        <v>45385</v>
      </c>
      <c r="F774" t="s">
        <v>5</v>
      </c>
      <c r="G774">
        <v>5597</v>
      </c>
      <c r="H774">
        <v>449</v>
      </c>
      <c r="I774">
        <v>3.8</v>
      </c>
      <c r="J774">
        <v>106</v>
      </c>
      <c r="K774">
        <f t="shared" ca="1" si="806"/>
        <v>582</v>
      </c>
      <c r="M774">
        <f t="shared" ca="1" si="807"/>
        <v>582</v>
      </c>
      <c r="N774" t="str">
        <f t="shared" si="808"/>
        <v>Average</v>
      </c>
      <c r="O774" t="e">
        <f t="shared" si="809"/>
        <v>#N/A</v>
      </c>
      <c r="P774" t="str">
        <f t="shared" si="810"/>
        <v>NO</v>
      </c>
      <c r="Q774">
        <f t="shared" si="754"/>
        <v>303773</v>
      </c>
      <c r="R774" t="str">
        <f t="shared" si="811"/>
        <v>2022-2023</v>
      </c>
    </row>
    <row r="775" spans="1:18" hidden="1" x14ac:dyDescent="0.25">
      <c r="A775" t="s">
        <v>1874</v>
      </c>
      <c r="B775" t="s">
        <v>1875</v>
      </c>
      <c r="C775" t="s">
        <v>32</v>
      </c>
      <c r="D775" t="s">
        <v>9</v>
      </c>
      <c r="E775" t="s">
        <v>1876</v>
      </c>
      <c r="F775" t="s">
        <v>11</v>
      </c>
      <c r="G775">
        <v>3334</v>
      </c>
      <c r="H775">
        <v>4265</v>
      </c>
      <c r="I775">
        <v>2.79</v>
      </c>
      <c r="J775">
        <v>49</v>
      </c>
      <c r="Q775">
        <f t="shared" si="754"/>
        <v>303773</v>
      </c>
    </row>
    <row r="776" spans="1:18" x14ac:dyDescent="0.25">
      <c r="A776" t="s">
        <v>1877</v>
      </c>
      <c r="B776" t="s">
        <v>1878</v>
      </c>
      <c r="C776" t="s">
        <v>17</v>
      </c>
      <c r="D776" t="s">
        <v>65</v>
      </c>
      <c r="E776" t="s">
        <v>627</v>
      </c>
      <c r="F776" t="s">
        <v>5</v>
      </c>
      <c r="G776">
        <v>5127</v>
      </c>
      <c r="H776">
        <v>1138</v>
      </c>
      <c r="I776">
        <v>2.08</v>
      </c>
      <c r="J776">
        <v>109</v>
      </c>
      <c r="K776">
        <f t="shared" ref="K776" ca="1" si="812">IF(F776="Enrolled", TODAY()-E776, "")</f>
        <v>985</v>
      </c>
      <c r="M776">
        <f ca="1">IF(F776="Enrolled",TODAY() - E776,"")</f>
        <v>985</v>
      </c>
      <c r="N776" t="str">
        <f>IF(I778&gt;=3.5,"Excellent",IF(I778&gt;=3,"Good",IF(I778&gt;=2,"Average","Poor")))</f>
        <v>Excellent</v>
      </c>
      <c r="O776" t="e">
        <f>VLOOKUP(D776, $T$18:$U$23, 2, FALSE)</f>
        <v>#N/A</v>
      </c>
      <c r="P776" t="str">
        <f t="shared" ref="P776" si="813">IF(H776 &gt; 0.5 * G776, "YES", "NO")</f>
        <v>NO</v>
      </c>
      <c r="Q776">
        <f t="shared" si="754"/>
        <v>300439</v>
      </c>
      <c r="R776" t="str">
        <f t="shared" ref="R776" si="814">IF(MONTH(E770)&gt;=6, YEAR(E770) &amp; "-" &amp; YEAR(E770)+1, YEAR(E770)-1 &amp; "-" &amp; YEAR(E770))</f>
        <v>2022-2023</v>
      </c>
    </row>
    <row r="777" spans="1:18" hidden="1" x14ac:dyDescent="0.25">
      <c r="A777" t="s">
        <v>1879</v>
      </c>
      <c r="B777" t="s">
        <v>1880</v>
      </c>
      <c r="C777" t="s">
        <v>8</v>
      </c>
      <c r="D777" t="s">
        <v>9</v>
      </c>
      <c r="E777" t="s">
        <v>1881</v>
      </c>
      <c r="F777" t="s">
        <v>11</v>
      </c>
      <c r="G777">
        <v>5285</v>
      </c>
      <c r="H777">
        <v>116</v>
      </c>
      <c r="I777">
        <v>2.82</v>
      </c>
      <c r="J777">
        <v>96</v>
      </c>
      <c r="Q777">
        <f t="shared" si="754"/>
        <v>300439</v>
      </c>
    </row>
    <row r="778" spans="1:18" hidden="1" x14ac:dyDescent="0.25">
      <c r="A778" t="s">
        <v>1882</v>
      </c>
      <c r="B778" t="s">
        <v>1883</v>
      </c>
      <c r="C778" t="s">
        <v>32</v>
      </c>
      <c r="D778" t="s">
        <v>3</v>
      </c>
      <c r="E778" s="1">
        <v>44595</v>
      </c>
      <c r="F778" t="s">
        <v>11</v>
      </c>
      <c r="G778">
        <v>13700</v>
      </c>
      <c r="H778">
        <v>9745</v>
      </c>
      <c r="I778">
        <v>3.99</v>
      </c>
      <c r="J778">
        <v>32</v>
      </c>
      <c r="Q778">
        <f t="shared" si="754"/>
        <v>295154</v>
      </c>
    </row>
    <row r="779" spans="1:18" hidden="1" x14ac:dyDescent="0.25">
      <c r="A779" t="s">
        <v>1884</v>
      </c>
      <c r="B779" t="s">
        <v>1885</v>
      </c>
      <c r="C779" t="s">
        <v>32</v>
      </c>
      <c r="D779" t="s">
        <v>25</v>
      </c>
      <c r="E779" t="s">
        <v>1886</v>
      </c>
      <c r="F779" t="s">
        <v>11</v>
      </c>
      <c r="G779">
        <v>5236</v>
      </c>
      <c r="H779">
        <v>2559</v>
      </c>
      <c r="I779">
        <v>2.0299999999999998</v>
      </c>
      <c r="J779">
        <v>28</v>
      </c>
      <c r="Q779">
        <f t="shared" si="754"/>
        <v>295154</v>
      </c>
    </row>
    <row r="780" spans="1:18" x14ac:dyDescent="0.25">
      <c r="A780" t="s">
        <v>1887</v>
      </c>
      <c r="B780" t="s">
        <v>1888</v>
      </c>
      <c r="C780" t="s">
        <v>21</v>
      </c>
      <c r="D780" t="s">
        <v>65</v>
      </c>
      <c r="E780" t="s">
        <v>949</v>
      </c>
      <c r="F780" t="s">
        <v>5</v>
      </c>
      <c r="G780">
        <v>14446</v>
      </c>
      <c r="H780">
        <v>6710</v>
      </c>
      <c r="I780">
        <v>3.67</v>
      </c>
      <c r="J780">
        <v>20</v>
      </c>
      <c r="K780">
        <f t="shared" ref="K780:K782" ca="1" si="815">IF(F780="Enrolled", TODAY()-E780, "")</f>
        <v>1149</v>
      </c>
      <c r="M780">
        <f t="shared" ref="M780:M782" ca="1" si="816">IF(F780="Enrolled",TODAY() - E780,"")</f>
        <v>1149</v>
      </c>
      <c r="N780" t="str">
        <f t="shared" ref="N780:N782" si="817">IF(I782&gt;=3.5,"Excellent",IF(I782&gt;=3,"Good",IF(I782&gt;=2,"Average","Poor")))</f>
        <v>Average</v>
      </c>
      <c r="O780" t="e">
        <f t="shared" ref="O780:O782" si="818">VLOOKUP(D780, $T$18:$U$23, 2, FALSE)</f>
        <v>#N/A</v>
      </c>
      <c r="P780" t="str">
        <f t="shared" ref="P780:P782" si="819">IF(H780 &gt; 0.5 * G780, "YES", "NO")</f>
        <v>NO</v>
      </c>
      <c r="Q780">
        <f t="shared" si="754"/>
        <v>295154</v>
      </c>
      <c r="R780" t="str">
        <f t="shared" ref="R780:R782" si="820">IF(MONTH(E774)&gt;=6, YEAR(E774) &amp; "-" &amp; YEAR(E774)+1, YEAR(E774)-1 &amp; "-" &amp; YEAR(E774))</f>
        <v>2023-2024</v>
      </c>
    </row>
    <row r="781" spans="1:18" x14ac:dyDescent="0.25">
      <c r="A781" t="s">
        <v>1889</v>
      </c>
      <c r="B781" t="s">
        <v>1890</v>
      </c>
      <c r="C781" t="s">
        <v>2</v>
      </c>
      <c r="D781" t="s">
        <v>25</v>
      </c>
      <c r="E781" s="1">
        <v>45323</v>
      </c>
      <c r="F781" t="s">
        <v>5</v>
      </c>
      <c r="G781">
        <v>9347</v>
      </c>
      <c r="H781">
        <v>931</v>
      </c>
      <c r="I781">
        <v>2.48</v>
      </c>
      <c r="J781">
        <v>77</v>
      </c>
      <c r="K781">
        <f t="shared" ca="1" si="815"/>
        <v>644</v>
      </c>
      <c r="M781">
        <f t="shared" ca="1" si="816"/>
        <v>644</v>
      </c>
      <c r="N781" t="str">
        <f t="shared" si="817"/>
        <v>Average</v>
      </c>
      <c r="O781" t="e">
        <f t="shared" si="818"/>
        <v>#N/A</v>
      </c>
      <c r="P781" t="str">
        <f t="shared" si="819"/>
        <v>NO</v>
      </c>
      <c r="Q781">
        <f t="shared" ref="Q781:Q844" si="821">SUMIFS(G781:G1979, F781:F1979, "Completed", D781:D1979, "Science")</f>
        <v>295154</v>
      </c>
      <c r="R781" t="str">
        <f t="shared" si="820"/>
        <v>2022-2023</v>
      </c>
    </row>
    <row r="782" spans="1:18" x14ac:dyDescent="0.25">
      <c r="A782" t="s">
        <v>1891</v>
      </c>
      <c r="B782" t="s">
        <v>1892</v>
      </c>
      <c r="C782" t="s">
        <v>17</v>
      </c>
      <c r="D782" t="s">
        <v>25</v>
      </c>
      <c r="E782" s="1">
        <v>44844</v>
      </c>
      <c r="F782" t="s">
        <v>5</v>
      </c>
      <c r="G782">
        <v>7036</v>
      </c>
      <c r="H782">
        <v>8702</v>
      </c>
      <c r="I782">
        <v>2.81</v>
      </c>
      <c r="J782">
        <v>92</v>
      </c>
      <c r="K782">
        <f t="shared" ca="1" si="815"/>
        <v>1123</v>
      </c>
      <c r="M782">
        <f t="shared" ca="1" si="816"/>
        <v>1123</v>
      </c>
      <c r="N782" t="str">
        <f t="shared" si="817"/>
        <v>Average</v>
      </c>
      <c r="O782" t="e">
        <f t="shared" si="818"/>
        <v>#N/A</v>
      </c>
      <c r="P782" t="str">
        <f t="shared" si="819"/>
        <v>YES</v>
      </c>
      <c r="Q782">
        <f t="shared" si="821"/>
        <v>295154</v>
      </c>
      <c r="R782" t="str">
        <f t="shared" si="820"/>
        <v>2022-2023</v>
      </c>
    </row>
    <row r="783" spans="1:18" hidden="1" x14ac:dyDescent="0.25">
      <c r="A783" t="s">
        <v>1893</v>
      </c>
      <c r="B783" t="s">
        <v>1894</v>
      </c>
      <c r="C783" t="s">
        <v>8</v>
      </c>
      <c r="D783" t="s">
        <v>3</v>
      </c>
      <c r="E783" t="s">
        <v>52</v>
      </c>
      <c r="F783" t="s">
        <v>36</v>
      </c>
      <c r="G783">
        <v>2807</v>
      </c>
      <c r="H783">
        <v>4412</v>
      </c>
      <c r="I783">
        <v>2.1</v>
      </c>
      <c r="J783">
        <v>17</v>
      </c>
      <c r="Q783">
        <f t="shared" si="821"/>
        <v>295154</v>
      </c>
    </row>
    <row r="784" spans="1:18" hidden="1" x14ac:dyDescent="0.25">
      <c r="A784" t="s">
        <v>1895</v>
      </c>
      <c r="B784" t="s">
        <v>1896</v>
      </c>
      <c r="C784" t="s">
        <v>55</v>
      </c>
      <c r="D784" t="s">
        <v>65</v>
      </c>
      <c r="E784" s="1">
        <v>44866</v>
      </c>
      <c r="F784" t="s">
        <v>11</v>
      </c>
      <c r="G784">
        <v>4713</v>
      </c>
      <c r="H784">
        <v>2905</v>
      </c>
      <c r="I784">
        <v>2.68</v>
      </c>
      <c r="J784">
        <v>83</v>
      </c>
      <c r="Q784">
        <f t="shared" si="821"/>
        <v>295154</v>
      </c>
    </row>
    <row r="785" spans="1:18" x14ac:dyDescent="0.25">
      <c r="A785" t="s">
        <v>1897</v>
      </c>
      <c r="B785" t="s">
        <v>1898</v>
      </c>
      <c r="C785" t="s">
        <v>14</v>
      </c>
      <c r="D785" t="s">
        <v>65</v>
      </c>
      <c r="E785" t="s">
        <v>1089</v>
      </c>
      <c r="F785" t="s">
        <v>5</v>
      </c>
      <c r="G785">
        <v>8738</v>
      </c>
      <c r="H785">
        <v>8784</v>
      </c>
      <c r="I785">
        <v>3.88</v>
      </c>
      <c r="J785">
        <v>29</v>
      </c>
      <c r="K785">
        <f t="shared" ref="K785:K787" ca="1" si="822">IF(F785="Enrolled", TODAY()-E785, "")</f>
        <v>867</v>
      </c>
      <c r="M785">
        <f t="shared" ref="M785:M787" ca="1" si="823">IF(F785="Enrolled",TODAY() - E785,"")</f>
        <v>867</v>
      </c>
      <c r="N785" t="str">
        <f t="shared" ref="N785:N787" si="824">IF(I787&gt;=3.5,"Excellent",IF(I787&gt;=3,"Good",IF(I787&gt;=2,"Average","Poor")))</f>
        <v>Excellent</v>
      </c>
      <c r="O785" t="e">
        <f t="shared" ref="O785:O787" si="825">VLOOKUP(D785, $T$18:$U$23, 2, FALSE)</f>
        <v>#N/A</v>
      </c>
      <c r="P785" t="str">
        <f t="shared" ref="P785:P787" si="826">IF(H785 &gt; 0.5 * G785, "YES", "NO")</f>
        <v>YES</v>
      </c>
      <c r="Q785">
        <f t="shared" si="821"/>
        <v>295154</v>
      </c>
      <c r="R785" t="str">
        <f t="shared" ref="R785:R787" si="827">IF(MONTH(E779)&gt;=6, YEAR(E779) &amp; "-" &amp; YEAR(E779)+1, YEAR(E779)-1 &amp; "-" &amp; YEAR(E779))</f>
        <v>2023-2024</v>
      </c>
    </row>
    <row r="786" spans="1:18" x14ac:dyDescent="0.25">
      <c r="A786" t="s">
        <v>1899</v>
      </c>
      <c r="B786" t="s">
        <v>1900</v>
      </c>
      <c r="C786" t="s">
        <v>17</v>
      </c>
      <c r="D786" t="s">
        <v>25</v>
      </c>
      <c r="E786" t="s">
        <v>1901</v>
      </c>
      <c r="F786" t="s">
        <v>5</v>
      </c>
      <c r="G786">
        <v>5873</v>
      </c>
      <c r="H786">
        <v>6663</v>
      </c>
      <c r="I786">
        <v>2.68</v>
      </c>
      <c r="J786">
        <v>60</v>
      </c>
      <c r="K786">
        <f t="shared" ca="1" si="822"/>
        <v>749</v>
      </c>
      <c r="M786">
        <f t="shared" ca="1" si="823"/>
        <v>749</v>
      </c>
      <c r="N786" t="str">
        <f t="shared" si="824"/>
        <v>Good</v>
      </c>
      <c r="O786" t="e">
        <f t="shared" si="825"/>
        <v>#N/A</v>
      </c>
      <c r="P786" t="str">
        <f t="shared" si="826"/>
        <v>YES</v>
      </c>
      <c r="Q786">
        <f t="shared" si="821"/>
        <v>295154</v>
      </c>
      <c r="R786" t="str">
        <f t="shared" si="827"/>
        <v>2022-2023</v>
      </c>
    </row>
    <row r="787" spans="1:18" x14ac:dyDescent="0.25">
      <c r="A787" t="s">
        <v>1902</v>
      </c>
      <c r="B787" t="s">
        <v>1903</v>
      </c>
      <c r="C787" t="s">
        <v>14</v>
      </c>
      <c r="D787" t="s">
        <v>65</v>
      </c>
      <c r="E787" t="s">
        <v>1904</v>
      </c>
      <c r="F787" t="s">
        <v>5</v>
      </c>
      <c r="G787">
        <v>2955</v>
      </c>
      <c r="H787">
        <v>3577</v>
      </c>
      <c r="I787">
        <v>3.87</v>
      </c>
      <c r="J787">
        <v>92</v>
      </c>
      <c r="K787">
        <f t="shared" ca="1" si="822"/>
        <v>815</v>
      </c>
      <c r="M787">
        <f t="shared" ca="1" si="823"/>
        <v>815</v>
      </c>
      <c r="N787" t="str">
        <f t="shared" si="824"/>
        <v>Average</v>
      </c>
      <c r="O787" t="e">
        <f t="shared" si="825"/>
        <v>#N/A</v>
      </c>
      <c r="P787" t="str">
        <f t="shared" si="826"/>
        <v>YES</v>
      </c>
      <c r="Q787">
        <f t="shared" si="821"/>
        <v>295154</v>
      </c>
      <c r="R787" t="str">
        <f t="shared" si="827"/>
        <v>2023-2024</v>
      </c>
    </row>
    <row r="788" spans="1:18" hidden="1" x14ac:dyDescent="0.25">
      <c r="A788" t="s">
        <v>1905</v>
      </c>
      <c r="B788" t="s">
        <v>1906</v>
      </c>
      <c r="C788" t="s">
        <v>2</v>
      </c>
      <c r="D788" t="s">
        <v>3</v>
      </c>
      <c r="E788" t="s">
        <v>660</v>
      </c>
      <c r="F788" t="s">
        <v>11</v>
      </c>
      <c r="G788">
        <v>14511</v>
      </c>
      <c r="H788">
        <v>7022</v>
      </c>
      <c r="I788">
        <v>3.28</v>
      </c>
      <c r="J788">
        <v>66</v>
      </c>
      <c r="Q788">
        <f t="shared" si="821"/>
        <v>295154</v>
      </c>
    </row>
    <row r="789" spans="1:18" x14ac:dyDescent="0.25">
      <c r="A789" t="s">
        <v>1907</v>
      </c>
      <c r="B789" t="s">
        <v>1908</v>
      </c>
      <c r="C789" t="s">
        <v>21</v>
      </c>
      <c r="D789" t="s">
        <v>3</v>
      </c>
      <c r="E789" t="s">
        <v>114</v>
      </c>
      <c r="F789" t="s">
        <v>5</v>
      </c>
      <c r="G789">
        <v>5957</v>
      </c>
      <c r="H789">
        <v>5173</v>
      </c>
      <c r="I789">
        <v>2.11</v>
      </c>
      <c r="J789">
        <v>76</v>
      </c>
      <c r="K789">
        <f t="shared" ref="K789:K791" ca="1" si="828">IF(F789="Enrolled", TODAY()-E789, "")</f>
        <v>588</v>
      </c>
      <c r="M789">
        <f t="shared" ref="M789:M791" ca="1" si="829">IF(F789="Enrolled",TODAY() - E789,"")</f>
        <v>588</v>
      </c>
      <c r="N789" t="str">
        <f t="shared" ref="N789:N791" si="830">IF(I791&gt;=3.5,"Excellent",IF(I791&gt;=3,"Good",IF(I791&gt;=2,"Average","Poor")))</f>
        <v>Average</v>
      </c>
      <c r="O789" t="e">
        <f t="shared" ref="O789:O791" si="831">VLOOKUP(D789, $T$18:$U$23, 2, FALSE)</f>
        <v>#N/A</v>
      </c>
      <c r="P789" t="str">
        <f t="shared" ref="P789:P791" si="832">IF(H789 &gt; 0.5 * G789, "YES", "NO")</f>
        <v>YES</v>
      </c>
      <c r="Q789">
        <f t="shared" si="821"/>
        <v>295154</v>
      </c>
      <c r="R789" t="str">
        <f t="shared" ref="R789:R791" si="833">IF(MONTH(E783)&gt;=6, YEAR(E783) &amp; "-" &amp; YEAR(E783)+1, YEAR(E783)-1 &amp; "-" &amp; YEAR(E783))</f>
        <v>2023-2024</v>
      </c>
    </row>
    <row r="790" spans="1:18" x14ac:dyDescent="0.25">
      <c r="A790" t="s">
        <v>1909</v>
      </c>
      <c r="B790" t="s">
        <v>1910</v>
      </c>
      <c r="C790" t="s">
        <v>32</v>
      </c>
      <c r="D790" t="s">
        <v>9</v>
      </c>
      <c r="E790" s="1">
        <v>45087</v>
      </c>
      <c r="F790" t="s">
        <v>5</v>
      </c>
      <c r="G790">
        <v>12871</v>
      </c>
      <c r="H790">
        <v>6263</v>
      </c>
      <c r="I790">
        <v>2.78</v>
      </c>
      <c r="J790">
        <v>55</v>
      </c>
      <c r="K790">
        <f t="shared" ca="1" si="828"/>
        <v>880</v>
      </c>
      <c r="M790">
        <f t="shared" ca="1" si="829"/>
        <v>880</v>
      </c>
      <c r="N790" t="str">
        <f t="shared" si="830"/>
        <v>Excellent</v>
      </c>
      <c r="O790" t="e">
        <f t="shared" si="831"/>
        <v>#N/A</v>
      </c>
      <c r="P790" t="str">
        <f t="shared" si="832"/>
        <v>NO</v>
      </c>
      <c r="Q790">
        <f t="shared" si="821"/>
        <v>295154</v>
      </c>
      <c r="R790" t="str">
        <f t="shared" si="833"/>
        <v>2022-2023</v>
      </c>
    </row>
    <row r="791" spans="1:18" x14ac:dyDescent="0.25">
      <c r="A791" t="s">
        <v>1911</v>
      </c>
      <c r="B791" t="s">
        <v>1912</v>
      </c>
      <c r="C791" t="s">
        <v>17</v>
      </c>
      <c r="D791" t="s">
        <v>3</v>
      </c>
      <c r="E791" s="1">
        <v>45058</v>
      </c>
      <c r="F791" t="s">
        <v>5</v>
      </c>
      <c r="G791">
        <v>10218</v>
      </c>
      <c r="H791">
        <v>2605</v>
      </c>
      <c r="I791">
        <v>2.38</v>
      </c>
      <c r="J791">
        <v>103</v>
      </c>
      <c r="K791">
        <f t="shared" ca="1" si="828"/>
        <v>909</v>
      </c>
      <c r="M791">
        <f t="shared" ca="1" si="829"/>
        <v>909</v>
      </c>
      <c r="N791" t="str">
        <f t="shared" si="830"/>
        <v>Good</v>
      </c>
      <c r="O791" t="e">
        <f t="shared" si="831"/>
        <v>#N/A</v>
      </c>
      <c r="P791" t="str">
        <f t="shared" si="832"/>
        <v>NO</v>
      </c>
      <c r="Q791">
        <f t="shared" si="821"/>
        <v>295154</v>
      </c>
      <c r="R791" t="str">
        <f t="shared" si="833"/>
        <v>2023-2024</v>
      </c>
    </row>
    <row r="792" spans="1:18" hidden="1" x14ac:dyDescent="0.25">
      <c r="A792" t="s">
        <v>1913</v>
      </c>
      <c r="B792" t="s">
        <v>1914</v>
      </c>
      <c r="C792" t="s">
        <v>8</v>
      </c>
      <c r="D792" t="s">
        <v>3</v>
      </c>
      <c r="E792" s="1">
        <v>44996</v>
      </c>
      <c r="F792" t="s">
        <v>11</v>
      </c>
      <c r="G792">
        <v>6960</v>
      </c>
      <c r="H792">
        <v>7251</v>
      </c>
      <c r="I792">
        <v>3.64</v>
      </c>
      <c r="J792">
        <v>23</v>
      </c>
      <c r="Q792">
        <f t="shared" si="821"/>
        <v>295154</v>
      </c>
    </row>
    <row r="793" spans="1:18" x14ac:dyDescent="0.25">
      <c r="A793" t="s">
        <v>1915</v>
      </c>
      <c r="B793" t="s">
        <v>1916</v>
      </c>
      <c r="C793" t="s">
        <v>21</v>
      </c>
      <c r="D793" t="s">
        <v>25</v>
      </c>
      <c r="E793" s="1">
        <v>44660</v>
      </c>
      <c r="F793" t="s">
        <v>5</v>
      </c>
      <c r="G793">
        <v>6829</v>
      </c>
      <c r="H793">
        <v>4244</v>
      </c>
      <c r="I793">
        <v>3.45</v>
      </c>
      <c r="J793">
        <v>39</v>
      </c>
      <c r="K793">
        <f t="shared" ref="K793:K794" ca="1" si="834">IF(F793="Enrolled", TODAY()-E793, "")</f>
        <v>1307</v>
      </c>
      <c r="M793">
        <f t="shared" ref="M793:M794" ca="1" si="835">IF(F793="Enrolled",TODAY() - E793,"")</f>
        <v>1307</v>
      </c>
      <c r="N793" t="str">
        <f t="shared" ref="N793:N794" si="836">IF(I795&gt;=3.5,"Excellent",IF(I795&gt;=3,"Good",IF(I795&gt;=2,"Average","Poor")))</f>
        <v>Good</v>
      </c>
      <c r="O793" t="e">
        <f t="shared" ref="O793:O794" si="837">VLOOKUP(D793, $T$18:$U$23, 2, FALSE)</f>
        <v>#N/A</v>
      </c>
      <c r="P793" t="str">
        <f t="shared" ref="P793:P794" si="838">IF(H793 &gt; 0.5 * G793, "YES", "NO")</f>
        <v>YES</v>
      </c>
      <c r="Q793">
        <f t="shared" si="821"/>
        <v>295154</v>
      </c>
      <c r="R793" t="str">
        <f t="shared" ref="R793:R794" si="839">IF(MONTH(E787)&gt;=6, YEAR(E787) &amp; "-" &amp; YEAR(E787)+1, YEAR(E787)-1 &amp; "-" &amp; YEAR(E787))</f>
        <v>2023-2024</v>
      </c>
    </row>
    <row r="794" spans="1:18" x14ac:dyDescent="0.25">
      <c r="A794" t="s">
        <v>1917</v>
      </c>
      <c r="B794" t="s">
        <v>1918</v>
      </c>
      <c r="C794" t="s">
        <v>55</v>
      </c>
      <c r="D794" t="s">
        <v>9</v>
      </c>
      <c r="E794" s="1">
        <v>45297</v>
      </c>
      <c r="F794" t="s">
        <v>5</v>
      </c>
      <c r="G794">
        <v>9470</v>
      </c>
      <c r="H794">
        <v>8209</v>
      </c>
      <c r="I794">
        <v>2.23</v>
      </c>
      <c r="J794">
        <v>17</v>
      </c>
      <c r="K794">
        <f t="shared" ca="1" si="834"/>
        <v>670</v>
      </c>
      <c r="M794">
        <f t="shared" ca="1" si="835"/>
        <v>670</v>
      </c>
      <c r="N794" t="str">
        <f t="shared" si="836"/>
        <v>Average</v>
      </c>
      <c r="O794" t="e">
        <f t="shared" si="837"/>
        <v>#N/A</v>
      </c>
      <c r="P794" t="str">
        <f t="shared" si="838"/>
        <v>YES</v>
      </c>
      <c r="Q794">
        <f t="shared" si="821"/>
        <v>295154</v>
      </c>
      <c r="R794" t="str">
        <f t="shared" si="839"/>
        <v>2023-2024</v>
      </c>
    </row>
    <row r="795" spans="1:18" hidden="1" x14ac:dyDescent="0.25">
      <c r="A795" t="s">
        <v>1919</v>
      </c>
      <c r="B795" t="s">
        <v>1920</v>
      </c>
      <c r="C795" t="s">
        <v>58</v>
      </c>
      <c r="D795" t="s">
        <v>9</v>
      </c>
      <c r="E795" s="1">
        <v>44875</v>
      </c>
      <c r="F795" t="s">
        <v>11</v>
      </c>
      <c r="G795">
        <v>11385</v>
      </c>
      <c r="H795">
        <v>4400</v>
      </c>
      <c r="I795">
        <v>3.13</v>
      </c>
      <c r="J795">
        <v>103</v>
      </c>
      <c r="Q795">
        <f t="shared" si="821"/>
        <v>295154</v>
      </c>
    </row>
    <row r="796" spans="1:18" hidden="1" x14ac:dyDescent="0.25">
      <c r="A796" t="s">
        <v>1921</v>
      </c>
      <c r="B796" t="s">
        <v>1922</v>
      </c>
      <c r="C796" t="s">
        <v>58</v>
      </c>
      <c r="D796" t="s">
        <v>65</v>
      </c>
      <c r="E796" s="1">
        <v>45353</v>
      </c>
      <c r="F796" t="s">
        <v>36</v>
      </c>
      <c r="G796">
        <v>6371</v>
      </c>
      <c r="H796">
        <v>1413</v>
      </c>
      <c r="I796">
        <v>2.0299999999999998</v>
      </c>
      <c r="J796">
        <v>9</v>
      </c>
      <c r="Q796">
        <f t="shared" si="821"/>
        <v>283769</v>
      </c>
    </row>
    <row r="797" spans="1:18" x14ac:dyDescent="0.25">
      <c r="A797" t="s">
        <v>1923</v>
      </c>
      <c r="B797" t="s">
        <v>1924</v>
      </c>
      <c r="C797" t="s">
        <v>58</v>
      </c>
      <c r="D797" t="s">
        <v>3</v>
      </c>
      <c r="E797" t="s">
        <v>446</v>
      </c>
      <c r="F797" t="s">
        <v>5</v>
      </c>
      <c r="G797">
        <v>12348</v>
      </c>
      <c r="H797">
        <v>7249</v>
      </c>
      <c r="I797">
        <v>3.99</v>
      </c>
      <c r="J797">
        <v>86</v>
      </c>
      <c r="K797">
        <f t="shared" ref="K797" ca="1" si="840">IF(F797="Enrolled", TODAY()-E797, "")</f>
        <v>779</v>
      </c>
      <c r="M797">
        <f ca="1">IF(F797="Enrolled",TODAY() - E797,"")</f>
        <v>779</v>
      </c>
      <c r="N797" t="str">
        <f>IF(I799&gt;=3.5,"Excellent",IF(I799&gt;=3,"Good",IF(I799&gt;=2,"Average","Poor")))</f>
        <v>Good</v>
      </c>
      <c r="O797" t="e">
        <f>VLOOKUP(D797, $T$18:$U$23, 2, FALSE)</f>
        <v>#N/A</v>
      </c>
      <c r="P797" t="str">
        <f t="shared" ref="P797" si="841">IF(H797 &gt; 0.5 * G797, "YES", "NO")</f>
        <v>YES</v>
      </c>
      <c r="Q797">
        <f t="shared" si="821"/>
        <v>283769</v>
      </c>
      <c r="R797" t="str">
        <f t="shared" ref="R797" si="842">IF(MONTH(E791)&gt;=6, YEAR(E791) &amp; "-" &amp; YEAR(E791)+1, YEAR(E791)-1 &amp; "-" &amp; YEAR(E791))</f>
        <v>2022-2023</v>
      </c>
    </row>
    <row r="798" spans="1:18" hidden="1" x14ac:dyDescent="0.25">
      <c r="A798" t="s">
        <v>1925</v>
      </c>
      <c r="B798" t="s">
        <v>1926</v>
      </c>
      <c r="C798" t="s">
        <v>17</v>
      </c>
      <c r="D798" t="s">
        <v>3</v>
      </c>
      <c r="E798" t="s">
        <v>793</v>
      </c>
      <c r="F798" t="s">
        <v>11</v>
      </c>
      <c r="G798">
        <v>11630</v>
      </c>
      <c r="H798">
        <v>4125</v>
      </c>
      <c r="I798">
        <v>2.97</v>
      </c>
      <c r="J798">
        <v>1</v>
      </c>
      <c r="Q798">
        <f t="shared" si="821"/>
        <v>283769</v>
      </c>
    </row>
    <row r="799" spans="1:18" x14ac:dyDescent="0.25">
      <c r="A799" t="s">
        <v>1927</v>
      </c>
      <c r="B799" t="s">
        <v>1928</v>
      </c>
      <c r="C799" t="s">
        <v>17</v>
      </c>
      <c r="D799" t="s">
        <v>3</v>
      </c>
      <c r="E799" t="s">
        <v>544</v>
      </c>
      <c r="F799" t="s">
        <v>5</v>
      </c>
      <c r="G799">
        <v>8458</v>
      </c>
      <c r="H799">
        <v>2663</v>
      </c>
      <c r="I799">
        <v>3.13</v>
      </c>
      <c r="J799">
        <v>103</v>
      </c>
      <c r="K799">
        <f t="shared" ref="K799:K810" ca="1" si="843">IF(F799="Enrolled", TODAY()-E799, "")</f>
        <v>534</v>
      </c>
      <c r="M799">
        <f t="shared" ref="M799:M810" ca="1" si="844">IF(F799="Enrolled",TODAY() - E799,"")</f>
        <v>534</v>
      </c>
      <c r="N799" t="str">
        <f t="shared" ref="N799:N810" si="845">IF(I801&gt;=3.5,"Excellent",IF(I801&gt;=3,"Good",IF(I801&gt;=2,"Average","Poor")))</f>
        <v>Excellent</v>
      </c>
      <c r="O799" t="e">
        <f t="shared" ref="O799:O810" si="846">VLOOKUP(D799, $T$18:$U$23, 2, FALSE)</f>
        <v>#N/A</v>
      </c>
      <c r="P799" t="str">
        <f t="shared" ref="P799:P810" si="847">IF(H799 &gt; 0.5 * G799, "YES", "NO")</f>
        <v>NO</v>
      </c>
      <c r="Q799">
        <f t="shared" si="821"/>
        <v>283769</v>
      </c>
      <c r="R799" t="str">
        <f t="shared" ref="R799:R810" si="848">IF(MONTH(E793)&gt;=6, YEAR(E793) &amp; "-" &amp; YEAR(E793)+1, YEAR(E793)-1 &amp; "-" &amp; YEAR(E793))</f>
        <v>2021-2022</v>
      </c>
    </row>
    <row r="800" spans="1:18" x14ac:dyDescent="0.25">
      <c r="A800" t="s">
        <v>1929</v>
      </c>
      <c r="B800" t="s">
        <v>1930</v>
      </c>
      <c r="C800" t="s">
        <v>21</v>
      </c>
      <c r="D800" t="s">
        <v>65</v>
      </c>
      <c r="E800" t="s">
        <v>1931</v>
      </c>
      <c r="F800" t="s">
        <v>5</v>
      </c>
      <c r="G800">
        <v>5481</v>
      </c>
      <c r="H800">
        <v>3750</v>
      </c>
      <c r="I800">
        <v>2.04</v>
      </c>
      <c r="J800">
        <v>99</v>
      </c>
      <c r="K800">
        <f t="shared" ca="1" si="843"/>
        <v>709</v>
      </c>
      <c r="M800">
        <f t="shared" ca="1" si="844"/>
        <v>709</v>
      </c>
      <c r="N800" t="str">
        <f t="shared" si="845"/>
        <v>Average</v>
      </c>
      <c r="O800" t="e">
        <f t="shared" si="846"/>
        <v>#N/A</v>
      </c>
      <c r="P800" t="str">
        <f t="shared" si="847"/>
        <v>YES</v>
      </c>
      <c r="Q800">
        <f t="shared" si="821"/>
        <v>283769</v>
      </c>
      <c r="R800" t="str">
        <f t="shared" si="848"/>
        <v>2023-2024</v>
      </c>
    </row>
    <row r="801" spans="1:18" x14ac:dyDescent="0.25">
      <c r="A801" t="s">
        <v>1932</v>
      </c>
      <c r="B801" t="s">
        <v>1933</v>
      </c>
      <c r="C801" t="s">
        <v>58</v>
      </c>
      <c r="D801" t="s">
        <v>9</v>
      </c>
      <c r="E801" t="s">
        <v>463</v>
      </c>
      <c r="F801" t="s">
        <v>5</v>
      </c>
      <c r="G801">
        <v>9827</v>
      </c>
      <c r="H801">
        <v>3072</v>
      </c>
      <c r="I801">
        <v>3.6</v>
      </c>
      <c r="J801">
        <v>9</v>
      </c>
      <c r="K801">
        <f t="shared" ca="1" si="843"/>
        <v>1011</v>
      </c>
      <c r="M801">
        <f t="shared" ca="1" si="844"/>
        <v>1011</v>
      </c>
      <c r="N801" t="str">
        <f t="shared" si="845"/>
        <v>Good</v>
      </c>
      <c r="O801" t="e">
        <f t="shared" si="846"/>
        <v>#N/A</v>
      </c>
      <c r="P801" t="str">
        <f t="shared" si="847"/>
        <v>NO</v>
      </c>
      <c r="Q801">
        <f t="shared" si="821"/>
        <v>283769</v>
      </c>
      <c r="R801" t="str">
        <f t="shared" si="848"/>
        <v>2022-2023</v>
      </c>
    </row>
    <row r="802" spans="1:18" x14ac:dyDescent="0.25">
      <c r="A802" t="s">
        <v>1934</v>
      </c>
      <c r="B802" t="s">
        <v>1935</v>
      </c>
      <c r="C802" t="s">
        <v>17</v>
      </c>
      <c r="D802" t="s">
        <v>3</v>
      </c>
      <c r="E802" t="s">
        <v>425</v>
      </c>
      <c r="F802" t="s">
        <v>5</v>
      </c>
      <c r="G802">
        <v>9017</v>
      </c>
      <c r="H802">
        <v>2433</v>
      </c>
      <c r="I802">
        <v>2.5</v>
      </c>
      <c r="J802">
        <v>104</v>
      </c>
      <c r="K802">
        <f t="shared" ca="1" si="843"/>
        <v>754</v>
      </c>
      <c r="M802">
        <f t="shared" ca="1" si="844"/>
        <v>754</v>
      </c>
      <c r="N802" t="str">
        <f t="shared" si="845"/>
        <v>Average</v>
      </c>
      <c r="O802" t="e">
        <f t="shared" si="846"/>
        <v>#N/A</v>
      </c>
      <c r="P802" t="str">
        <f t="shared" si="847"/>
        <v>NO</v>
      </c>
      <c r="Q802">
        <f t="shared" si="821"/>
        <v>283769</v>
      </c>
      <c r="R802" t="str">
        <f t="shared" si="848"/>
        <v>2023-2024</v>
      </c>
    </row>
    <row r="803" spans="1:18" x14ac:dyDescent="0.25">
      <c r="A803" t="s">
        <v>1936</v>
      </c>
      <c r="B803" t="s">
        <v>1937</v>
      </c>
      <c r="C803" t="s">
        <v>2</v>
      </c>
      <c r="D803" t="s">
        <v>25</v>
      </c>
      <c r="E803" t="s">
        <v>120</v>
      </c>
      <c r="F803" t="s">
        <v>5</v>
      </c>
      <c r="G803">
        <v>7088</v>
      </c>
      <c r="H803">
        <v>1865</v>
      </c>
      <c r="I803">
        <v>3.1</v>
      </c>
      <c r="J803">
        <v>13</v>
      </c>
      <c r="K803">
        <f t="shared" ca="1" si="843"/>
        <v>988</v>
      </c>
      <c r="M803">
        <f t="shared" ca="1" si="844"/>
        <v>988</v>
      </c>
      <c r="N803" t="str">
        <f t="shared" si="845"/>
        <v>Excellent</v>
      </c>
      <c r="O803" t="e">
        <f t="shared" si="846"/>
        <v>#N/A</v>
      </c>
      <c r="P803" t="str">
        <f t="shared" si="847"/>
        <v>NO</v>
      </c>
      <c r="Q803">
        <f t="shared" si="821"/>
        <v>283769</v>
      </c>
      <c r="R803" t="str">
        <f t="shared" si="848"/>
        <v>2023-2024</v>
      </c>
    </row>
    <row r="804" spans="1:18" x14ac:dyDescent="0.25">
      <c r="A804" t="s">
        <v>1938</v>
      </c>
      <c r="B804" t="s">
        <v>1939</v>
      </c>
      <c r="C804" t="s">
        <v>58</v>
      </c>
      <c r="D804" t="s">
        <v>9</v>
      </c>
      <c r="E804" t="s">
        <v>47</v>
      </c>
      <c r="F804" t="s">
        <v>5</v>
      </c>
      <c r="G804">
        <v>6708</v>
      </c>
      <c r="H804">
        <v>3378</v>
      </c>
      <c r="I804">
        <v>2.4500000000000002</v>
      </c>
      <c r="J804">
        <v>116</v>
      </c>
      <c r="K804">
        <f t="shared" ca="1" si="843"/>
        <v>748</v>
      </c>
      <c r="M804">
        <f t="shared" ca="1" si="844"/>
        <v>748</v>
      </c>
      <c r="N804" t="str">
        <f t="shared" si="845"/>
        <v>Good</v>
      </c>
      <c r="O804" t="e">
        <f t="shared" si="846"/>
        <v>#N/A</v>
      </c>
      <c r="P804" t="str">
        <f t="shared" si="847"/>
        <v>YES</v>
      </c>
      <c r="Q804">
        <f t="shared" si="821"/>
        <v>283769</v>
      </c>
      <c r="R804" t="str">
        <f t="shared" si="848"/>
        <v>2022-2023</v>
      </c>
    </row>
    <row r="805" spans="1:18" x14ac:dyDescent="0.25">
      <c r="A805" t="s">
        <v>1940</v>
      </c>
      <c r="B805" t="s">
        <v>1941</v>
      </c>
      <c r="C805" t="s">
        <v>58</v>
      </c>
      <c r="D805" t="s">
        <v>65</v>
      </c>
      <c r="E805" t="s">
        <v>859</v>
      </c>
      <c r="F805" t="s">
        <v>5</v>
      </c>
      <c r="G805">
        <v>8649</v>
      </c>
      <c r="H805">
        <v>259</v>
      </c>
      <c r="I805">
        <v>3.8</v>
      </c>
      <c r="J805">
        <v>104</v>
      </c>
      <c r="K805">
        <f t="shared" ca="1" si="843"/>
        <v>1113</v>
      </c>
      <c r="M805">
        <f t="shared" ca="1" si="844"/>
        <v>1113</v>
      </c>
      <c r="N805" t="str">
        <f t="shared" si="845"/>
        <v>Good</v>
      </c>
      <c r="O805" t="e">
        <f t="shared" si="846"/>
        <v>#N/A</v>
      </c>
      <c r="P805" t="str">
        <f t="shared" si="847"/>
        <v>NO</v>
      </c>
      <c r="Q805">
        <f t="shared" si="821"/>
        <v>283769</v>
      </c>
      <c r="R805" t="str">
        <f t="shared" si="848"/>
        <v>2023-2024</v>
      </c>
    </row>
    <row r="806" spans="1:18" x14ac:dyDescent="0.25">
      <c r="A806" t="s">
        <v>1942</v>
      </c>
      <c r="B806" t="s">
        <v>1943</v>
      </c>
      <c r="C806" t="s">
        <v>21</v>
      </c>
      <c r="D806" t="s">
        <v>3</v>
      </c>
      <c r="E806" t="s">
        <v>1944</v>
      </c>
      <c r="F806" t="s">
        <v>5</v>
      </c>
      <c r="G806">
        <v>14403</v>
      </c>
      <c r="H806">
        <v>6794</v>
      </c>
      <c r="I806">
        <v>3.08</v>
      </c>
      <c r="J806">
        <v>12</v>
      </c>
      <c r="K806">
        <f t="shared" ca="1" si="843"/>
        <v>933</v>
      </c>
      <c r="M806">
        <f t="shared" ca="1" si="844"/>
        <v>933</v>
      </c>
      <c r="N806" t="str">
        <f t="shared" si="845"/>
        <v>Good</v>
      </c>
      <c r="O806" t="e">
        <f t="shared" si="846"/>
        <v>#N/A</v>
      </c>
      <c r="P806" t="str">
        <f t="shared" si="847"/>
        <v>NO</v>
      </c>
      <c r="Q806">
        <f t="shared" si="821"/>
        <v>283769</v>
      </c>
      <c r="R806" t="str">
        <f t="shared" si="848"/>
        <v>2023-2024</v>
      </c>
    </row>
    <row r="807" spans="1:18" x14ac:dyDescent="0.25">
      <c r="A807" t="s">
        <v>1945</v>
      </c>
      <c r="B807" t="s">
        <v>1946</v>
      </c>
      <c r="C807" t="s">
        <v>17</v>
      </c>
      <c r="D807" t="s">
        <v>25</v>
      </c>
      <c r="E807" t="s">
        <v>1947</v>
      </c>
      <c r="F807" t="s">
        <v>5</v>
      </c>
      <c r="G807">
        <v>6558</v>
      </c>
      <c r="H807">
        <v>1313</v>
      </c>
      <c r="I807">
        <v>3.07</v>
      </c>
      <c r="J807">
        <v>41</v>
      </c>
      <c r="K807">
        <f t="shared" ca="1" si="843"/>
        <v>653</v>
      </c>
      <c r="M807">
        <f t="shared" ca="1" si="844"/>
        <v>653</v>
      </c>
      <c r="N807" t="str">
        <f t="shared" si="845"/>
        <v>Good</v>
      </c>
      <c r="O807" t="e">
        <f t="shared" si="846"/>
        <v>#N/A</v>
      </c>
      <c r="P807" t="str">
        <f t="shared" si="847"/>
        <v>NO</v>
      </c>
      <c r="Q807">
        <f t="shared" si="821"/>
        <v>283769</v>
      </c>
      <c r="R807" t="str">
        <f t="shared" si="848"/>
        <v>2022-2023</v>
      </c>
    </row>
    <row r="808" spans="1:18" x14ac:dyDescent="0.25">
      <c r="A808" t="s">
        <v>1948</v>
      </c>
      <c r="B808" t="s">
        <v>1949</v>
      </c>
      <c r="C808" t="s">
        <v>58</v>
      </c>
      <c r="D808" t="s">
        <v>25</v>
      </c>
      <c r="E808" s="1">
        <v>44723</v>
      </c>
      <c r="F808" t="s">
        <v>5</v>
      </c>
      <c r="G808">
        <v>9997</v>
      </c>
      <c r="H808">
        <v>9046</v>
      </c>
      <c r="I808">
        <v>3.18</v>
      </c>
      <c r="J808">
        <v>31</v>
      </c>
      <c r="K808">
        <f t="shared" ca="1" si="843"/>
        <v>1244</v>
      </c>
      <c r="M808">
        <f t="shared" ca="1" si="844"/>
        <v>1244</v>
      </c>
      <c r="N808" t="str">
        <f t="shared" si="845"/>
        <v>Average</v>
      </c>
      <c r="O808" t="e">
        <f t="shared" si="846"/>
        <v>#N/A</v>
      </c>
      <c r="P808" t="str">
        <f t="shared" si="847"/>
        <v>YES</v>
      </c>
      <c r="Q808">
        <f t="shared" si="821"/>
        <v>283769</v>
      </c>
      <c r="R808" t="str">
        <f t="shared" si="848"/>
        <v>2023-2024</v>
      </c>
    </row>
    <row r="809" spans="1:18" x14ac:dyDescent="0.25">
      <c r="A809" t="s">
        <v>1950</v>
      </c>
      <c r="B809" t="s">
        <v>1951</v>
      </c>
      <c r="C809" t="s">
        <v>21</v>
      </c>
      <c r="D809" t="s">
        <v>65</v>
      </c>
      <c r="E809" t="s">
        <v>1952</v>
      </c>
      <c r="F809" t="s">
        <v>5</v>
      </c>
      <c r="G809">
        <v>2195</v>
      </c>
      <c r="H809">
        <v>5801</v>
      </c>
      <c r="I809">
        <v>3.09</v>
      </c>
      <c r="J809">
        <v>29</v>
      </c>
      <c r="K809">
        <f t="shared" ca="1" si="843"/>
        <v>586</v>
      </c>
      <c r="M809">
        <f t="shared" ca="1" si="844"/>
        <v>586</v>
      </c>
      <c r="N809" t="str">
        <f t="shared" si="845"/>
        <v>Average</v>
      </c>
      <c r="O809" t="e">
        <f t="shared" si="846"/>
        <v>#N/A</v>
      </c>
      <c r="P809" t="str">
        <f t="shared" si="847"/>
        <v>YES</v>
      </c>
      <c r="Q809">
        <f t="shared" si="821"/>
        <v>283769</v>
      </c>
      <c r="R809" t="str">
        <f t="shared" si="848"/>
        <v>2022-2023</v>
      </c>
    </row>
    <row r="810" spans="1:18" x14ac:dyDescent="0.25">
      <c r="A810" t="s">
        <v>1953</v>
      </c>
      <c r="B810" t="s">
        <v>1954</v>
      </c>
      <c r="C810" t="s">
        <v>14</v>
      </c>
      <c r="D810" t="s">
        <v>3</v>
      </c>
      <c r="E810" t="s">
        <v>381</v>
      </c>
      <c r="F810" t="s">
        <v>5</v>
      </c>
      <c r="G810">
        <v>5342</v>
      </c>
      <c r="H810">
        <v>8331</v>
      </c>
      <c r="I810">
        <v>2.34</v>
      </c>
      <c r="J810">
        <v>28</v>
      </c>
      <c r="K810">
        <f t="shared" ca="1" si="843"/>
        <v>1388</v>
      </c>
      <c r="M810">
        <f t="shared" ca="1" si="844"/>
        <v>1388</v>
      </c>
      <c r="N810" t="str">
        <f t="shared" si="845"/>
        <v>Excellent</v>
      </c>
      <c r="O810" t="e">
        <f t="shared" si="846"/>
        <v>#N/A</v>
      </c>
      <c r="P810" t="str">
        <f t="shared" si="847"/>
        <v>YES</v>
      </c>
      <c r="Q810">
        <f t="shared" si="821"/>
        <v>283769</v>
      </c>
      <c r="R810" t="str">
        <f t="shared" si="848"/>
        <v>2023-2024</v>
      </c>
    </row>
    <row r="811" spans="1:18" hidden="1" x14ac:dyDescent="0.25">
      <c r="A811" t="s">
        <v>1955</v>
      </c>
      <c r="B811" t="s">
        <v>1956</v>
      </c>
      <c r="C811" t="s">
        <v>58</v>
      </c>
      <c r="D811" t="s">
        <v>3</v>
      </c>
      <c r="E811" s="1">
        <v>44868</v>
      </c>
      <c r="F811" t="s">
        <v>11</v>
      </c>
      <c r="G811">
        <v>8312</v>
      </c>
      <c r="H811">
        <v>1608</v>
      </c>
      <c r="I811">
        <v>2.66</v>
      </c>
      <c r="J811">
        <v>60</v>
      </c>
      <c r="Q811">
        <f t="shared" si="821"/>
        <v>283769</v>
      </c>
    </row>
    <row r="812" spans="1:18" x14ac:dyDescent="0.25">
      <c r="A812" t="s">
        <v>1957</v>
      </c>
      <c r="B812" t="s">
        <v>1958</v>
      </c>
      <c r="C812" t="s">
        <v>17</v>
      </c>
      <c r="D812" t="s">
        <v>3</v>
      </c>
      <c r="E812" s="1">
        <v>44781</v>
      </c>
      <c r="F812" t="s">
        <v>5</v>
      </c>
      <c r="G812">
        <v>11533</v>
      </c>
      <c r="H812">
        <v>3137</v>
      </c>
      <c r="I812">
        <v>3.99</v>
      </c>
      <c r="J812">
        <v>102</v>
      </c>
      <c r="K812">
        <f t="shared" ref="K812:K815" ca="1" si="849">IF(F812="Enrolled", TODAY()-E812, "")</f>
        <v>1186</v>
      </c>
      <c r="M812">
        <f t="shared" ref="M812:M815" ca="1" si="850">IF(F812="Enrolled",TODAY() - E812,"")</f>
        <v>1186</v>
      </c>
      <c r="N812" t="str">
        <f t="shared" ref="N812:N815" si="851">IF(I814&gt;=3.5,"Excellent",IF(I814&gt;=3,"Good",IF(I814&gt;=2,"Average","Poor")))</f>
        <v>Excellent</v>
      </c>
      <c r="O812" t="e">
        <f t="shared" ref="O812:O815" si="852">VLOOKUP(D812, $T$18:$U$23, 2, FALSE)</f>
        <v>#N/A</v>
      </c>
      <c r="P812" t="str">
        <f t="shared" ref="P812:P815" si="853">IF(H812 &gt; 0.5 * G812, "YES", "NO")</f>
        <v>NO</v>
      </c>
      <c r="Q812">
        <f t="shared" si="821"/>
        <v>283769</v>
      </c>
      <c r="R812" t="str">
        <f t="shared" ref="R812:R815" si="854">IF(MONTH(E806)&gt;=6, YEAR(E806) &amp; "-" &amp; YEAR(E806)+1, YEAR(E806)-1 &amp; "-" &amp; YEAR(E806))</f>
        <v>2022-2023</v>
      </c>
    </row>
    <row r="813" spans="1:18" x14ac:dyDescent="0.25">
      <c r="A813" t="s">
        <v>1959</v>
      </c>
      <c r="B813" t="s">
        <v>1960</v>
      </c>
      <c r="C813" t="s">
        <v>2</v>
      </c>
      <c r="D813" t="s">
        <v>9</v>
      </c>
      <c r="E813" t="s">
        <v>680</v>
      </c>
      <c r="F813" t="s">
        <v>5</v>
      </c>
      <c r="G813">
        <v>13511</v>
      </c>
      <c r="H813">
        <v>5464</v>
      </c>
      <c r="I813">
        <v>3.98</v>
      </c>
      <c r="J813">
        <v>28</v>
      </c>
      <c r="K813">
        <f t="shared" ca="1" si="849"/>
        <v>1045</v>
      </c>
      <c r="M813">
        <f t="shared" ca="1" si="850"/>
        <v>1045</v>
      </c>
      <c r="N813" t="str">
        <f t="shared" si="851"/>
        <v>Average</v>
      </c>
      <c r="O813" t="e">
        <f t="shared" si="852"/>
        <v>#N/A</v>
      </c>
      <c r="P813" t="str">
        <f t="shared" si="853"/>
        <v>NO</v>
      </c>
      <c r="Q813">
        <f t="shared" si="821"/>
        <v>283769</v>
      </c>
      <c r="R813" t="str">
        <f t="shared" si="854"/>
        <v>2023-2024</v>
      </c>
    </row>
    <row r="814" spans="1:18" x14ac:dyDescent="0.25">
      <c r="A814" t="s">
        <v>1961</v>
      </c>
      <c r="B814" t="s">
        <v>1962</v>
      </c>
      <c r="C814" t="s">
        <v>14</v>
      </c>
      <c r="D814" t="s">
        <v>9</v>
      </c>
      <c r="E814" s="1">
        <v>44632</v>
      </c>
      <c r="F814" t="s">
        <v>5</v>
      </c>
      <c r="G814">
        <v>14695</v>
      </c>
      <c r="H814">
        <v>6199</v>
      </c>
      <c r="I814">
        <v>3.67</v>
      </c>
      <c r="J814">
        <v>22</v>
      </c>
      <c r="K814">
        <f t="shared" ca="1" si="849"/>
        <v>1335</v>
      </c>
      <c r="M814">
        <f t="shared" ca="1" si="850"/>
        <v>1335</v>
      </c>
      <c r="N814" t="str">
        <f t="shared" si="851"/>
        <v>Good</v>
      </c>
      <c r="O814" t="e">
        <f t="shared" si="852"/>
        <v>#N/A</v>
      </c>
      <c r="P814" t="str">
        <f t="shared" si="853"/>
        <v>NO</v>
      </c>
      <c r="Q814">
        <f t="shared" si="821"/>
        <v>283769</v>
      </c>
      <c r="R814" t="str">
        <f t="shared" si="854"/>
        <v>2022-2023</v>
      </c>
    </row>
    <row r="815" spans="1:18" x14ac:dyDescent="0.25">
      <c r="A815" t="s">
        <v>1963</v>
      </c>
      <c r="B815" t="s">
        <v>1964</v>
      </c>
      <c r="C815" t="s">
        <v>32</v>
      </c>
      <c r="D815" t="s">
        <v>25</v>
      </c>
      <c r="E815" s="1">
        <v>44721</v>
      </c>
      <c r="F815" t="s">
        <v>5</v>
      </c>
      <c r="G815">
        <v>4571</v>
      </c>
      <c r="H815">
        <v>8871</v>
      </c>
      <c r="I815">
        <v>2.04</v>
      </c>
      <c r="J815">
        <v>94</v>
      </c>
      <c r="K815">
        <f t="shared" ca="1" si="849"/>
        <v>1246</v>
      </c>
      <c r="M815">
        <f t="shared" ca="1" si="850"/>
        <v>1246</v>
      </c>
      <c r="N815" t="str">
        <f t="shared" si="851"/>
        <v>Average</v>
      </c>
      <c r="O815" t="e">
        <f t="shared" si="852"/>
        <v>#N/A</v>
      </c>
      <c r="P815" t="str">
        <f t="shared" si="853"/>
        <v>YES</v>
      </c>
      <c r="Q815">
        <f t="shared" si="821"/>
        <v>283769</v>
      </c>
      <c r="R815" t="str">
        <f t="shared" si="854"/>
        <v>2023-2024</v>
      </c>
    </row>
    <row r="816" spans="1:18" hidden="1" x14ac:dyDescent="0.25">
      <c r="A816" t="s">
        <v>1965</v>
      </c>
      <c r="B816" t="s">
        <v>1966</v>
      </c>
      <c r="C816" t="s">
        <v>2</v>
      </c>
      <c r="D816" t="s">
        <v>25</v>
      </c>
      <c r="E816" t="s">
        <v>587</v>
      </c>
      <c r="F816" t="s">
        <v>11</v>
      </c>
      <c r="G816">
        <v>12837</v>
      </c>
      <c r="H816">
        <v>5084</v>
      </c>
      <c r="I816">
        <v>3.1</v>
      </c>
      <c r="J816">
        <v>37</v>
      </c>
      <c r="Q816">
        <f t="shared" si="821"/>
        <v>283769</v>
      </c>
    </row>
    <row r="817" spans="1:18" hidden="1" x14ac:dyDescent="0.25">
      <c r="A817" t="s">
        <v>1967</v>
      </c>
      <c r="B817" t="s">
        <v>1968</v>
      </c>
      <c r="C817" t="s">
        <v>21</v>
      </c>
      <c r="D817" t="s">
        <v>3</v>
      </c>
      <c r="E817" t="s">
        <v>1969</v>
      </c>
      <c r="F817" t="s">
        <v>11</v>
      </c>
      <c r="G817">
        <v>3199</v>
      </c>
      <c r="H817">
        <v>5772</v>
      </c>
      <c r="I817">
        <v>2.14</v>
      </c>
      <c r="J817">
        <v>5</v>
      </c>
      <c r="Q817">
        <f t="shared" si="821"/>
        <v>283769</v>
      </c>
    </row>
    <row r="818" spans="1:18" hidden="1" x14ac:dyDescent="0.25">
      <c r="A818" t="s">
        <v>1970</v>
      </c>
      <c r="B818" t="s">
        <v>1971</v>
      </c>
      <c r="C818" t="s">
        <v>2</v>
      </c>
      <c r="D818" t="s">
        <v>25</v>
      </c>
      <c r="E818" s="1">
        <v>45327</v>
      </c>
      <c r="F818" t="s">
        <v>11</v>
      </c>
      <c r="G818">
        <v>2199</v>
      </c>
      <c r="H818">
        <v>5986</v>
      </c>
      <c r="I818">
        <v>3.13</v>
      </c>
      <c r="J818">
        <v>33</v>
      </c>
      <c r="Q818">
        <f t="shared" si="821"/>
        <v>283769</v>
      </c>
    </row>
    <row r="819" spans="1:18" hidden="1" x14ac:dyDescent="0.25">
      <c r="A819" t="s">
        <v>1972</v>
      </c>
      <c r="B819" t="s">
        <v>1973</v>
      </c>
      <c r="C819" t="s">
        <v>21</v>
      </c>
      <c r="D819" t="s">
        <v>25</v>
      </c>
      <c r="E819" s="1">
        <v>45326</v>
      </c>
      <c r="F819" t="s">
        <v>11</v>
      </c>
      <c r="G819">
        <v>2150</v>
      </c>
      <c r="H819">
        <v>6873</v>
      </c>
      <c r="I819">
        <v>2.11</v>
      </c>
      <c r="J819">
        <v>23</v>
      </c>
      <c r="Q819">
        <f t="shared" si="821"/>
        <v>283769</v>
      </c>
    </row>
    <row r="820" spans="1:18" hidden="1" x14ac:dyDescent="0.25">
      <c r="A820" t="s">
        <v>1974</v>
      </c>
      <c r="B820" t="s">
        <v>1975</v>
      </c>
      <c r="C820" t="s">
        <v>8</v>
      </c>
      <c r="D820" t="s">
        <v>65</v>
      </c>
      <c r="E820" t="s">
        <v>1976</v>
      </c>
      <c r="F820" t="s">
        <v>36</v>
      </c>
      <c r="G820">
        <v>9905</v>
      </c>
      <c r="H820">
        <v>6715</v>
      </c>
      <c r="I820">
        <v>2.12</v>
      </c>
      <c r="J820">
        <v>101</v>
      </c>
      <c r="Q820">
        <f t="shared" si="821"/>
        <v>283769</v>
      </c>
    </row>
    <row r="821" spans="1:18" x14ac:dyDescent="0.25">
      <c r="A821" t="s">
        <v>1977</v>
      </c>
      <c r="B821" t="s">
        <v>1978</v>
      </c>
      <c r="C821" t="s">
        <v>2</v>
      </c>
      <c r="D821" t="s">
        <v>65</v>
      </c>
      <c r="E821" s="1">
        <v>44752</v>
      </c>
      <c r="F821" t="s">
        <v>5</v>
      </c>
      <c r="G821">
        <v>2124</v>
      </c>
      <c r="H821">
        <v>464</v>
      </c>
      <c r="I821">
        <v>3.19</v>
      </c>
      <c r="J821">
        <v>39</v>
      </c>
      <c r="K821">
        <f t="shared" ref="K821:K824" ca="1" si="855">IF(F821="Enrolled", TODAY()-E821, "")</f>
        <v>1215</v>
      </c>
      <c r="M821">
        <f t="shared" ref="M821:M824" ca="1" si="856">IF(F821="Enrolled",TODAY() - E821,"")</f>
        <v>1215</v>
      </c>
      <c r="N821" t="str">
        <f t="shared" ref="N821:N824" si="857">IF(I823&gt;=3.5,"Excellent",IF(I823&gt;=3,"Good",IF(I823&gt;=2,"Average","Poor")))</f>
        <v>Average</v>
      </c>
      <c r="O821" t="e">
        <f t="shared" ref="O821:O824" si="858">VLOOKUP(D821, $T$18:$U$23, 2, FALSE)</f>
        <v>#N/A</v>
      </c>
      <c r="P821" t="str">
        <f t="shared" ref="P821:P824" si="859">IF(H821 &gt; 0.5 * G821, "YES", "NO")</f>
        <v>NO</v>
      </c>
      <c r="Q821">
        <f t="shared" si="821"/>
        <v>283769</v>
      </c>
      <c r="R821" t="str">
        <f t="shared" ref="R821:R824" si="860">IF(MONTH(E815)&gt;=6, YEAR(E815) &amp; "-" &amp; YEAR(E815)+1, YEAR(E815)-1 &amp; "-" &amp; YEAR(E815))</f>
        <v>2022-2023</v>
      </c>
    </row>
    <row r="822" spans="1:18" x14ac:dyDescent="0.25">
      <c r="A822" t="s">
        <v>1979</v>
      </c>
      <c r="B822" t="s">
        <v>1980</v>
      </c>
      <c r="C822" t="s">
        <v>58</v>
      </c>
      <c r="D822" t="s">
        <v>3</v>
      </c>
      <c r="E822" t="s">
        <v>1489</v>
      </c>
      <c r="F822" t="s">
        <v>5</v>
      </c>
      <c r="G822">
        <v>2690</v>
      </c>
      <c r="H822">
        <v>7185</v>
      </c>
      <c r="I822">
        <v>2.06</v>
      </c>
      <c r="J822">
        <v>15</v>
      </c>
      <c r="K822">
        <f t="shared" ca="1" si="855"/>
        <v>535</v>
      </c>
      <c r="M822">
        <f t="shared" ca="1" si="856"/>
        <v>535</v>
      </c>
      <c r="N822" t="str">
        <f t="shared" si="857"/>
        <v>Excellent</v>
      </c>
      <c r="O822" t="e">
        <f t="shared" si="858"/>
        <v>#N/A</v>
      </c>
      <c r="P822" t="str">
        <f t="shared" si="859"/>
        <v>YES</v>
      </c>
      <c r="Q822">
        <f t="shared" si="821"/>
        <v>283769</v>
      </c>
      <c r="R822" t="str">
        <f t="shared" si="860"/>
        <v>2021-2022</v>
      </c>
    </row>
    <row r="823" spans="1:18" x14ac:dyDescent="0.25">
      <c r="A823" t="s">
        <v>1981</v>
      </c>
      <c r="B823" t="s">
        <v>1982</v>
      </c>
      <c r="C823" t="s">
        <v>58</v>
      </c>
      <c r="D823" t="s">
        <v>65</v>
      </c>
      <c r="E823" t="s">
        <v>1983</v>
      </c>
      <c r="F823" t="s">
        <v>5</v>
      </c>
      <c r="G823">
        <v>13523</v>
      </c>
      <c r="H823">
        <v>1946</v>
      </c>
      <c r="I823">
        <v>2.35</v>
      </c>
      <c r="J823">
        <v>2</v>
      </c>
      <c r="K823">
        <f t="shared" ca="1" si="855"/>
        <v>1197</v>
      </c>
      <c r="M823">
        <f t="shared" ca="1" si="856"/>
        <v>1197</v>
      </c>
      <c r="N823" t="str">
        <f t="shared" si="857"/>
        <v>Average</v>
      </c>
      <c r="O823" t="e">
        <f t="shared" si="858"/>
        <v>#N/A</v>
      </c>
      <c r="P823" t="str">
        <f t="shared" si="859"/>
        <v>NO</v>
      </c>
      <c r="Q823">
        <f t="shared" si="821"/>
        <v>283769</v>
      </c>
      <c r="R823" t="str">
        <f t="shared" si="860"/>
        <v>2023-2024</v>
      </c>
    </row>
    <row r="824" spans="1:18" x14ac:dyDescent="0.25">
      <c r="A824" t="s">
        <v>1984</v>
      </c>
      <c r="B824" t="s">
        <v>1985</v>
      </c>
      <c r="C824" t="s">
        <v>14</v>
      </c>
      <c r="D824" t="s">
        <v>25</v>
      </c>
      <c r="E824" s="1">
        <v>44868</v>
      </c>
      <c r="F824" t="s">
        <v>5</v>
      </c>
      <c r="G824">
        <v>13442</v>
      </c>
      <c r="H824">
        <v>1267</v>
      </c>
      <c r="I824">
        <v>3.66</v>
      </c>
      <c r="J824">
        <v>72</v>
      </c>
      <c r="K824">
        <f t="shared" ca="1" si="855"/>
        <v>1099</v>
      </c>
      <c r="M824">
        <f t="shared" ca="1" si="856"/>
        <v>1099</v>
      </c>
      <c r="N824" t="str">
        <f t="shared" si="857"/>
        <v>Excellent</v>
      </c>
      <c r="O824" t="e">
        <f t="shared" si="858"/>
        <v>#N/A</v>
      </c>
      <c r="P824" t="str">
        <f t="shared" si="859"/>
        <v>NO</v>
      </c>
      <c r="Q824">
        <f t="shared" si="821"/>
        <v>283769</v>
      </c>
      <c r="R824" t="str">
        <f t="shared" si="860"/>
        <v>2023-2024</v>
      </c>
    </row>
    <row r="825" spans="1:18" hidden="1" x14ac:dyDescent="0.25">
      <c r="A825" t="s">
        <v>1986</v>
      </c>
      <c r="B825" t="s">
        <v>1987</v>
      </c>
      <c r="C825" t="s">
        <v>17</v>
      </c>
      <c r="D825" t="s">
        <v>9</v>
      </c>
      <c r="E825" s="1">
        <v>45414</v>
      </c>
      <c r="F825" t="s">
        <v>11</v>
      </c>
      <c r="G825">
        <v>6885</v>
      </c>
      <c r="H825">
        <v>386</v>
      </c>
      <c r="I825">
        <v>2.57</v>
      </c>
      <c r="J825">
        <v>111</v>
      </c>
      <c r="Q825">
        <f t="shared" si="821"/>
        <v>283769</v>
      </c>
    </row>
    <row r="826" spans="1:18" hidden="1" x14ac:dyDescent="0.25">
      <c r="A826" t="s">
        <v>1988</v>
      </c>
      <c r="B826" t="s">
        <v>1989</v>
      </c>
      <c r="C826" t="s">
        <v>32</v>
      </c>
      <c r="D826" t="s">
        <v>65</v>
      </c>
      <c r="E826" t="s">
        <v>404</v>
      </c>
      <c r="F826" t="s">
        <v>11</v>
      </c>
      <c r="G826">
        <v>5021</v>
      </c>
      <c r="H826">
        <v>5227</v>
      </c>
      <c r="I826">
        <v>3.65</v>
      </c>
      <c r="J826">
        <v>97</v>
      </c>
      <c r="Q826">
        <f t="shared" si="821"/>
        <v>276884</v>
      </c>
    </row>
    <row r="827" spans="1:18" x14ac:dyDescent="0.25">
      <c r="A827" t="s">
        <v>1990</v>
      </c>
      <c r="B827" t="s">
        <v>1991</v>
      </c>
      <c r="C827" t="s">
        <v>8</v>
      </c>
      <c r="D827" t="s">
        <v>25</v>
      </c>
      <c r="E827" t="s">
        <v>512</v>
      </c>
      <c r="F827" t="s">
        <v>5</v>
      </c>
      <c r="G827">
        <v>7061</v>
      </c>
      <c r="H827">
        <v>7017</v>
      </c>
      <c r="I827">
        <v>3.69</v>
      </c>
      <c r="J827">
        <v>26</v>
      </c>
      <c r="K827">
        <f t="shared" ref="K827" ca="1" si="861">IF(F827="Enrolled", TODAY()-E827, "")</f>
        <v>1354</v>
      </c>
      <c r="M827">
        <f ca="1">IF(F827="Enrolled",TODAY() - E827,"")</f>
        <v>1354</v>
      </c>
      <c r="N827" t="str">
        <f>IF(I829&gt;=3.5,"Excellent",IF(I829&gt;=3,"Good",IF(I829&gt;=2,"Average","Poor")))</f>
        <v>Excellent</v>
      </c>
      <c r="O827" t="e">
        <f>VLOOKUP(D827, $T$18:$U$23, 2, FALSE)</f>
        <v>#N/A</v>
      </c>
      <c r="P827" t="str">
        <f t="shared" ref="P827" si="862">IF(H827 &gt; 0.5 * G827, "YES", "NO")</f>
        <v>YES</v>
      </c>
      <c r="Q827">
        <f t="shared" si="821"/>
        <v>276884</v>
      </c>
      <c r="R827" t="str">
        <f t="shared" ref="R827" si="863">IF(MONTH(E821)&gt;=6, YEAR(E821) &amp; "-" &amp; YEAR(E821)+1, YEAR(E821)-1 &amp; "-" &amp; YEAR(E821))</f>
        <v>2022-2023</v>
      </c>
    </row>
    <row r="828" spans="1:18" hidden="1" x14ac:dyDescent="0.25">
      <c r="A828" t="s">
        <v>1992</v>
      </c>
      <c r="B828" t="s">
        <v>1993</v>
      </c>
      <c r="C828" t="s">
        <v>2</v>
      </c>
      <c r="D828" t="s">
        <v>65</v>
      </c>
      <c r="E828" t="s">
        <v>1994</v>
      </c>
      <c r="F828" t="s">
        <v>11</v>
      </c>
      <c r="G828">
        <v>7729</v>
      </c>
      <c r="H828">
        <v>3775</v>
      </c>
      <c r="I828">
        <v>2.08</v>
      </c>
      <c r="J828">
        <v>59</v>
      </c>
      <c r="Q828">
        <f t="shared" si="821"/>
        <v>276884</v>
      </c>
    </row>
    <row r="829" spans="1:18" hidden="1" x14ac:dyDescent="0.25">
      <c r="A829" t="s">
        <v>1995</v>
      </c>
      <c r="B829" t="s">
        <v>1996</v>
      </c>
      <c r="C829" t="s">
        <v>55</v>
      </c>
      <c r="D829" t="s">
        <v>9</v>
      </c>
      <c r="E829" t="s">
        <v>1997</v>
      </c>
      <c r="F829" t="s">
        <v>11</v>
      </c>
      <c r="G829">
        <v>12330</v>
      </c>
      <c r="H829">
        <v>3766</v>
      </c>
      <c r="I829">
        <v>3.85</v>
      </c>
      <c r="J829">
        <v>59</v>
      </c>
      <c r="Q829">
        <f t="shared" si="821"/>
        <v>276884</v>
      </c>
    </row>
    <row r="830" spans="1:18" hidden="1" x14ac:dyDescent="0.25">
      <c r="A830" t="s">
        <v>1998</v>
      </c>
      <c r="B830" t="s">
        <v>1999</v>
      </c>
      <c r="C830" t="s">
        <v>14</v>
      </c>
      <c r="D830" t="s">
        <v>25</v>
      </c>
      <c r="E830" t="s">
        <v>131</v>
      </c>
      <c r="F830" t="s">
        <v>11</v>
      </c>
      <c r="G830">
        <v>11714</v>
      </c>
      <c r="H830">
        <v>8902</v>
      </c>
      <c r="I830">
        <v>2.66</v>
      </c>
      <c r="J830">
        <v>87</v>
      </c>
      <c r="Q830">
        <f t="shared" si="821"/>
        <v>264554</v>
      </c>
    </row>
    <row r="831" spans="1:18" hidden="1" x14ac:dyDescent="0.25">
      <c r="A831" t="s">
        <v>2000</v>
      </c>
      <c r="B831" t="s">
        <v>2001</v>
      </c>
      <c r="C831" t="s">
        <v>2</v>
      </c>
      <c r="D831" t="s">
        <v>9</v>
      </c>
      <c r="E831" t="s">
        <v>884</v>
      </c>
      <c r="F831" t="s">
        <v>11</v>
      </c>
      <c r="G831">
        <v>11559</v>
      </c>
      <c r="H831">
        <v>7261</v>
      </c>
      <c r="I831">
        <v>3.35</v>
      </c>
      <c r="J831">
        <v>13</v>
      </c>
      <c r="Q831">
        <f t="shared" si="821"/>
        <v>264554</v>
      </c>
    </row>
    <row r="832" spans="1:18" x14ac:dyDescent="0.25">
      <c r="A832" t="s">
        <v>2002</v>
      </c>
      <c r="B832" t="s">
        <v>2003</v>
      </c>
      <c r="C832" t="s">
        <v>58</v>
      </c>
      <c r="D832" t="s">
        <v>65</v>
      </c>
      <c r="E832" t="s">
        <v>1523</v>
      </c>
      <c r="F832" t="s">
        <v>5</v>
      </c>
      <c r="G832">
        <v>14978</v>
      </c>
      <c r="H832">
        <v>1326</v>
      </c>
      <c r="I832">
        <v>2.2400000000000002</v>
      </c>
      <c r="J832">
        <v>12</v>
      </c>
      <c r="K832">
        <f t="shared" ref="K832:K835" ca="1" si="864">IF(F832="Enrolled", TODAY()-E832, "")</f>
        <v>622</v>
      </c>
      <c r="M832">
        <f t="shared" ref="M832:M835" ca="1" si="865">IF(F832="Enrolled",TODAY() - E832,"")</f>
        <v>622</v>
      </c>
      <c r="N832" t="str">
        <f t="shared" ref="N832:N835" si="866">IF(I834&gt;=3.5,"Excellent",IF(I834&gt;=3,"Good",IF(I834&gt;=2,"Average","Poor")))</f>
        <v>Good</v>
      </c>
      <c r="O832" t="e">
        <f t="shared" ref="O832:O835" si="867">VLOOKUP(D832, $T$18:$U$23, 2, FALSE)</f>
        <v>#N/A</v>
      </c>
      <c r="P832" t="str">
        <f t="shared" ref="P832:P835" si="868">IF(H832 &gt; 0.5 * G832, "YES", "NO")</f>
        <v>NO</v>
      </c>
      <c r="Q832">
        <f t="shared" si="821"/>
        <v>252995</v>
      </c>
      <c r="R832" t="str">
        <f t="shared" ref="R832:R835" si="869">IF(MONTH(E826)&gt;=6, YEAR(E826) &amp; "-" &amp; YEAR(E826)+1, YEAR(E826)-1 &amp; "-" &amp; YEAR(E826))</f>
        <v>2021-2022</v>
      </c>
    </row>
    <row r="833" spans="1:18" x14ac:dyDescent="0.25">
      <c r="A833" t="s">
        <v>2004</v>
      </c>
      <c r="B833" t="s">
        <v>2005</v>
      </c>
      <c r="C833" t="s">
        <v>55</v>
      </c>
      <c r="D833" t="s">
        <v>3</v>
      </c>
      <c r="E833" t="s">
        <v>2006</v>
      </c>
      <c r="F833" t="s">
        <v>5</v>
      </c>
      <c r="G833">
        <v>11976</v>
      </c>
      <c r="H833">
        <v>1826</v>
      </c>
      <c r="I833">
        <v>2.2200000000000002</v>
      </c>
      <c r="J833">
        <v>10</v>
      </c>
      <c r="K833">
        <f t="shared" ca="1" si="864"/>
        <v>1352</v>
      </c>
      <c r="M833">
        <f t="shared" ca="1" si="865"/>
        <v>1352</v>
      </c>
      <c r="N833" t="str">
        <f t="shared" si="866"/>
        <v>Average</v>
      </c>
      <c r="O833" t="e">
        <f t="shared" si="867"/>
        <v>#N/A</v>
      </c>
      <c r="P833" t="str">
        <f t="shared" si="868"/>
        <v>NO</v>
      </c>
      <c r="Q833">
        <f t="shared" si="821"/>
        <v>252995</v>
      </c>
      <c r="R833" t="str">
        <f t="shared" si="869"/>
        <v>2021-2022</v>
      </c>
    </row>
    <row r="834" spans="1:18" x14ac:dyDescent="0.25">
      <c r="A834" t="s">
        <v>2007</v>
      </c>
      <c r="B834" t="s">
        <v>2008</v>
      </c>
      <c r="C834" t="s">
        <v>14</v>
      </c>
      <c r="D834" t="s">
        <v>9</v>
      </c>
      <c r="E834" s="1">
        <v>45017</v>
      </c>
      <c r="F834" t="s">
        <v>5</v>
      </c>
      <c r="G834">
        <v>14178</v>
      </c>
      <c r="H834">
        <v>2222</v>
      </c>
      <c r="I834">
        <v>3.45</v>
      </c>
      <c r="J834">
        <v>91</v>
      </c>
      <c r="K834">
        <f t="shared" ca="1" si="864"/>
        <v>950</v>
      </c>
      <c r="M834">
        <f t="shared" ca="1" si="865"/>
        <v>950</v>
      </c>
      <c r="N834" t="str">
        <f t="shared" si="866"/>
        <v>Average</v>
      </c>
      <c r="O834" t="e">
        <f t="shared" si="867"/>
        <v>#N/A</v>
      </c>
      <c r="P834" t="str">
        <f t="shared" si="868"/>
        <v>NO</v>
      </c>
      <c r="Q834">
        <f t="shared" si="821"/>
        <v>252995</v>
      </c>
      <c r="R834" t="str">
        <f t="shared" si="869"/>
        <v>2023-2024</v>
      </c>
    </row>
    <row r="835" spans="1:18" x14ac:dyDescent="0.25">
      <c r="A835" t="s">
        <v>2009</v>
      </c>
      <c r="B835" t="s">
        <v>2010</v>
      </c>
      <c r="C835" t="s">
        <v>8</v>
      </c>
      <c r="D835" t="s">
        <v>3</v>
      </c>
      <c r="E835" t="s">
        <v>868</v>
      </c>
      <c r="F835" t="s">
        <v>5</v>
      </c>
      <c r="G835">
        <v>12592</v>
      </c>
      <c r="H835">
        <v>161</v>
      </c>
      <c r="I835">
        <v>2.27</v>
      </c>
      <c r="J835">
        <v>68</v>
      </c>
      <c r="K835">
        <f t="shared" ca="1" si="864"/>
        <v>1356</v>
      </c>
      <c r="M835">
        <f t="shared" ca="1" si="865"/>
        <v>1356</v>
      </c>
      <c r="N835" t="str">
        <f t="shared" si="866"/>
        <v>Good</v>
      </c>
      <c r="O835" t="e">
        <f t="shared" si="867"/>
        <v>#N/A</v>
      </c>
      <c r="P835" t="str">
        <f t="shared" si="868"/>
        <v>NO</v>
      </c>
      <c r="Q835">
        <f t="shared" si="821"/>
        <v>252995</v>
      </c>
      <c r="R835" t="str">
        <f t="shared" si="869"/>
        <v>2021-2022</v>
      </c>
    </row>
    <row r="836" spans="1:18" hidden="1" x14ac:dyDescent="0.25">
      <c r="A836" t="s">
        <v>2011</v>
      </c>
      <c r="B836" t="s">
        <v>2012</v>
      </c>
      <c r="C836" t="s">
        <v>14</v>
      </c>
      <c r="D836" t="s">
        <v>9</v>
      </c>
      <c r="E836" s="1">
        <v>45109</v>
      </c>
      <c r="F836" t="s">
        <v>11</v>
      </c>
      <c r="G836">
        <v>2380</v>
      </c>
      <c r="H836">
        <v>9095</v>
      </c>
      <c r="I836">
        <v>2.41</v>
      </c>
      <c r="J836">
        <v>3</v>
      </c>
      <c r="Q836">
        <f t="shared" si="821"/>
        <v>252995</v>
      </c>
    </row>
    <row r="837" spans="1:18" x14ac:dyDescent="0.25">
      <c r="A837" t="s">
        <v>2013</v>
      </c>
      <c r="B837" t="s">
        <v>2014</v>
      </c>
      <c r="C837" t="s">
        <v>2</v>
      </c>
      <c r="D837" t="s">
        <v>25</v>
      </c>
      <c r="E837" s="1">
        <v>44960</v>
      </c>
      <c r="F837" t="s">
        <v>5</v>
      </c>
      <c r="G837">
        <v>3078</v>
      </c>
      <c r="H837">
        <v>3622</v>
      </c>
      <c r="I837">
        <v>3.39</v>
      </c>
      <c r="J837">
        <v>72</v>
      </c>
      <c r="K837">
        <f t="shared" ref="K837" ca="1" si="870">IF(F837="Enrolled", TODAY()-E837, "")</f>
        <v>1007</v>
      </c>
      <c r="M837">
        <f ca="1">IF(F837="Enrolled",TODAY() - E837,"")</f>
        <v>1007</v>
      </c>
      <c r="N837" t="str">
        <f>IF(I839&gt;=3.5,"Excellent",IF(I839&gt;=3,"Good",IF(I839&gt;=2,"Average","Poor")))</f>
        <v>Excellent</v>
      </c>
      <c r="O837" t="e">
        <f>VLOOKUP(D837, $T$18:$U$23, 2, FALSE)</f>
        <v>#N/A</v>
      </c>
      <c r="P837" t="str">
        <f t="shared" ref="P837" si="871">IF(H837 &gt; 0.5 * G837, "YES", "NO")</f>
        <v>YES</v>
      </c>
      <c r="Q837">
        <f t="shared" si="821"/>
        <v>250615</v>
      </c>
      <c r="R837" t="str">
        <f t="shared" ref="R837" si="872">IF(MONTH(E831)&gt;=6, YEAR(E831) &amp; "-" &amp; YEAR(E831)+1, YEAR(E831)-1 &amp; "-" &amp; YEAR(E831))</f>
        <v>2021-2022</v>
      </c>
    </row>
    <row r="838" spans="1:18" hidden="1" x14ac:dyDescent="0.25">
      <c r="A838" t="s">
        <v>2015</v>
      </c>
      <c r="B838" t="s">
        <v>2016</v>
      </c>
      <c r="C838" t="s">
        <v>32</v>
      </c>
      <c r="D838" t="s">
        <v>25</v>
      </c>
      <c r="E838" t="s">
        <v>871</v>
      </c>
      <c r="F838" t="s">
        <v>36</v>
      </c>
      <c r="G838">
        <v>6374</v>
      </c>
      <c r="H838">
        <v>1397</v>
      </c>
      <c r="I838">
        <v>2.91</v>
      </c>
      <c r="J838">
        <v>52</v>
      </c>
      <c r="Q838">
        <f t="shared" si="821"/>
        <v>250615</v>
      </c>
    </row>
    <row r="839" spans="1:18" hidden="1" x14ac:dyDescent="0.25">
      <c r="A839" t="s">
        <v>2017</v>
      </c>
      <c r="B839" t="s">
        <v>2018</v>
      </c>
      <c r="C839" t="s">
        <v>32</v>
      </c>
      <c r="D839" t="s">
        <v>9</v>
      </c>
      <c r="E839" s="1">
        <v>44995</v>
      </c>
      <c r="F839" t="s">
        <v>11</v>
      </c>
      <c r="G839">
        <v>3040</v>
      </c>
      <c r="H839">
        <v>5676</v>
      </c>
      <c r="I839">
        <v>3.86</v>
      </c>
      <c r="J839">
        <v>92</v>
      </c>
      <c r="Q839">
        <f t="shared" si="821"/>
        <v>250615</v>
      </c>
    </row>
    <row r="840" spans="1:18" hidden="1" x14ac:dyDescent="0.25">
      <c r="A840" t="s">
        <v>2019</v>
      </c>
      <c r="B840" t="s">
        <v>2020</v>
      </c>
      <c r="C840" t="s">
        <v>2</v>
      </c>
      <c r="D840" t="s">
        <v>25</v>
      </c>
      <c r="E840" t="s">
        <v>649</v>
      </c>
      <c r="F840" t="s">
        <v>11</v>
      </c>
      <c r="G840">
        <v>13689</v>
      </c>
      <c r="H840">
        <v>313</v>
      </c>
      <c r="I840">
        <v>3.95</v>
      </c>
      <c r="J840">
        <v>78</v>
      </c>
      <c r="Q840">
        <f t="shared" si="821"/>
        <v>247575</v>
      </c>
    </row>
    <row r="841" spans="1:18" x14ac:dyDescent="0.25">
      <c r="A841" t="s">
        <v>2021</v>
      </c>
      <c r="B841" t="s">
        <v>2022</v>
      </c>
      <c r="C841" t="s">
        <v>2</v>
      </c>
      <c r="D841" t="s">
        <v>9</v>
      </c>
      <c r="E841" s="1">
        <v>44928</v>
      </c>
      <c r="F841" t="s">
        <v>5</v>
      </c>
      <c r="G841">
        <v>6036</v>
      </c>
      <c r="H841">
        <v>6021</v>
      </c>
      <c r="I841">
        <v>2.17</v>
      </c>
      <c r="J841">
        <v>39</v>
      </c>
      <c r="K841">
        <f t="shared" ref="K841" ca="1" si="873">IF(F841="Enrolled", TODAY()-E841, "")</f>
        <v>1039</v>
      </c>
      <c r="M841">
        <f ca="1">IF(F841="Enrolled",TODAY() - E841,"")</f>
        <v>1039</v>
      </c>
      <c r="N841" t="str">
        <f>IF(I843&gt;=3.5,"Excellent",IF(I843&gt;=3,"Good",IF(I843&gt;=2,"Average","Poor")))</f>
        <v>Excellent</v>
      </c>
      <c r="O841" t="e">
        <f>VLOOKUP(D841, $T$18:$U$23, 2, FALSE)</f>
        <v>#N/A</v>
      </c>
      <c r="P841" t="str">
        <f t="shared" ref="P841" si="874">IF(H841 &gt; 0.5 * G841, "YES", "NO")</f>
        <v>YES</v>
      </c>
      <c r="Q841">
        <f t="shared" si="821"/>
        <v>247575</v>
      </c>
      <c r="R841" t="str">
        <f t="shared" ref="R841" si="875">IF(MONTH(E835)&gt;=6, YEAR(E835) &amp; "-" &amp; YEAR(E835)+1, YEAR(E835)-1 &amp; "-" &amp; YEAR(E835))</f>
        <v>2021-2022</v>
      </c>
    </row>
    <row r="842" spans="1:18" hidden="1" x14ac:dyDescent="0.25">
      <c r="A842" t="s">
        <v>2023</v>
      </c>
      <c r="B842" t="s">
        <v>2024</v>
      </c>
      <c r="C842" t="s">
        <v>21</v>
      </c>
      <c r="D842" t="s">
        <v>9</v>
      </c>
      <c r="E842" t="s">
        <v>654</v>
      </c>
      <c r="F842" t="s">
        <v>11</v>
      </c>
      <c r="G842">
        <v>9926</v>
      </c>
      <c r="H842">
        <v>7453</v>
      </c>
      <c r="I842">
        <v>3.31</v>
      </c>
      <c r="J842">
        <v>7</v>
      </c>
      <c r="Q842">
        <f t="shared" si="821"/>
        <v>247575</v>
      </c>
    </row>
    <row r="843" spans="1:18" hidden="1" x14ac:dyDescent="0.25">
      <c r="A843" t="s">
        <v>2025</v>
      </c>
      <c r="B843" t="s">
        <v>2026</v>
      </c>
      <c r="C843" t="s">
        <v>17</v>
      </c>
      <c r="D843" t="s">
        <v>3</v>
      </c>
      <c r="E843" s="1">
        <v>44628</v>
      </c>
      <c r="F843" t="s">
        <v>11</v>
      </c>
      <c r="G843">
        <v>9699</v>
      </c>
      <c r="H843">
        <v>354</v>
      </c>
      <c r="I843">
        <v>3.97</v>
      </c>
      <c r="J843">
        <v>25</v>
      </c>
      <c r="Q843">
        <f t="shared" si="821"/>
        <v>237649</v>
      </c>
    </row>
    <row r="844" spans="1:18" x14ac:dyDescent="0.25">
      <c r="A844" t="s">
        <v>2027</v>
      </c>
      <c r="B844" t="s">
        <v>2028</v>
      </c>
      <c r="C844" t="s">
        <v>17</v>
      </c>
      <c r="D844" t="s">
        <v>3</v>
      </c>
      <c r="E844" t="s">
        <v>2029</v>
      </c>
      <c r="F844" t="s">
        <v>5</v>
      </c>
      <c r="G844">
        <v>7281</v>
      </c>
      <c r="H844">
        <v>5074</v>
      </c>
      <c r="I844">
        <v>3.26</v>
      </c>
      <c r="J844">
        <v>89</v>
      </c>
      <c r="K844">
        <f t="shared" ref="K844" ca="1" si="876">IF(F844="Enrolled", TODAY()-E844, "")</f>
        <v>1240</v>
      </c>
      <c r="M844">
        <f ca="1">IF(F844="Enrolled",TODAY() - E844,"")</f>
        <v>1240</v>
      </c>
      <c r="N844" t="str">
        <f>IF(I846&gt;=3.5,"Excellent",IF(I846&gt;=3,"Good",IF(I846&gt;=2,"Average","Poor")))</f>
        <v>Average</v>
      </c>
      <c r="O844" t="e">
        <f>VLOOKUP(D844, $T$18:$U$23, 2, FALSE)</f>
        <v>#N/A</v>
      </c>
      <c r="P844" t="str">
        <f t="shared" ref="P844" si="877">IF(H844 &gt; 0.5 * G844, "YES", "NO")</f>
        <v>YES</v>
      </c>
      <c r="Q844">
        <f t="shared" si="821"/>
        <v>237649</v>
      </c>
      <c r="R844" t="str">
        <f t="shared" ref="R844" si="878">IF(MONTH(E838)&gt;=6, YEAR(E838) &amp; "-" &amp; YEAR(E838)+1, YEAR(E838)-1 &amp; "-" &amp; YEAR(E838))</f>
        <v>2023-2024</v>
      </c>
    </row>
    <row r="845" spans="1:18" hidden="1" x14ac:dyDescent="0.25">
      <c r="A845" t="s">
        <v>2030</v>
      </c>
      <c r="B845" t="s">
        <v>2031</v>
      </c>
      <c r="C845" t="s">
        <v>2</v>
      </c>
      <c r="D845" t="s">
        <v>9</v>
      </c>
      <c r="E845" t="s">
        <v>2032</v>
      </c>
      <c r="F845" t="s">
        <v>36</v>
      </c>
      <c r="G845">
        <v>7435</v>
      </c>
      <c r="H845">
        <v>5879</v>
      </c>
      <c r="I845">
        <v>3.57</v>
      </c>
      <c r="J845">
        <v>17</v>
      </c>
      <c r="Q845">
        <f t="shared" ref="Q845:Q908" si="879">SUMIFS(G845:G2043, F845:F2043, "Completed", D845:D2043, "Science")</f>
        <v>237649</v>
      </c>
    </row>
    <row r="846" spans="1:18" x14ac:dyDescent="0.25">
      <c r="A846" t="s">
        <v>2033</v>
      </c>
      <c r="B846" t="s">
        <v>2034</v>
      </c>
      <c r="C846" t="s">
        <v>32</v>
      </c>
      <c r="D846" t="s">
        <v>3</v>
      </c>
      <c r="E846" s="1">
        <v>45630</v>
      </c>
      <c r="F846" t="s">
        <v>5</v>
      </c>
      <c r="G846">
        <v>14977</v>
      </c>
      <c r="H846">
        <v>374</v>
      </c>
      <c r="I846">
        <v>2.36</v>
      </c>
      <c r="J846">
        <v>60</v>
      </c>
      <c r="K846">
        <f t="shared" ref="K846:K847" ca="1" si="880">IF(F846="Enrolled", TODAY()-E846, "")</f>
        <v>337</v>
      </c>
      <c r="M846">
        <f t="shared" ref="M846:M847" ca="1" si="881">IF(F846="Enrolled",TODAY() - E846,"")</f>
        <v>337</v>
      </c>
      <c r="N846" t="str">
        <f t="shared" ref="N846:N847" si="882">IF(I848&gt;=3.5,"Excellent",IF(I848&gt;=3,"Good",IF(I848&gt;=2,"Average","Poor")))</f>
        <v>Average</v>
      </c>
      <c r="O846" t="e">
        <f t="shared" ref="O846:O847" si="883">VLOOKUP(D846, $T$18:$U$23, 2, FALSE)</f>
        <v>#N/A</v>
      </c>
      <c r="P846" t="str">
        <f t="shared" ref="P846:P847" si="884">IF(H846 &gt; 0.5 * G846, "YES", "NO")</f>
        <v>NO</v>
      </c>
      <c r="Q846">
        <f t="shared" si="879"/>
        <v>237649</v>
      </c>
      <c r="R846" t="str">
        <f t="shared" ref="R846:R847" si="885">IF(MONTH(E840)&gt;=6, YEAR(E840) &amp; "-" &amp; YEAR(E840)+1, YEAR(E840)-1 &amp; "-" &amp; YEAR(E840))</f>
        <v>2022-2023</v>
      </c>
    </row>
    <row r="847" spans="1:18" x14ac:dyDescent="0.25">
      <c r="A847" t="s">
        <v>2035</v>
      </c>
      <c r="B847" t="s">
        <v>2036</v>
      </c>
      <c r="C847" t="s">
        <v>8</v>
      </c>
      <c r="D847" t="s">
        <v>65</v>
      </c>
      <c r="E847" t="s">
        <v>85</v>
      </c>
      <c r="F847" t="s">
        <v>5</v>
      </c>
      <c r="G847">
        <v>14578</v>
      </c>
      <c r="H847">
        <v>8597</v>
      </c>
      <c r="I847">
        <v>3.36</v>
      </c>
      <c r="J847">
        <v>34</v>
      </c>
      <c r="K847">
        <f t="shared" ca="1" si="880"/>
        <v>875</v>
      </c>
      <c r="M847">
        <f t="shared" ca="1" si="881"/>
        <v>875</v>
      </c>
      <c r="N847" t="str">
        <f t="shared" si="882"/>
        <v>Excellent</v>
      </c>
      <c r="O847" t="e">
        <f t="shared" si="883"/>
        <v>#N/A</v>
      </c>
      <c r="P847" t="str">
        <f t="shared" si="884"/>
        <v>YES</v>
      </c>
      <c r="Q847">
        <f t="shared" si="879"/>
        <v>237649</v>
      </c>
      <c r="R847" t="str">
        <f t="shared" si="885"/>
        <v>2022-2023</v>
      </c>
    </row>
    <row r="848" spans="1:18" hidden="1" x14ac:dyDescent="0.25">
      <c r="A848" t="s">
        <v>2037</v>
      </c>
      <c r="B848" t="s">
        <v>2038</v>
      </c>
      <c r="C848" t="s">
        <v>55</v>
      </c>
      <c r="D848" t="s">
        <v>25</v>
      </c>
      <c r="E848" t="s">
        <v>2039</v>
      </c>
      <c r="F848" t="s">
        <v>11</v>
      </c>
      <c r="G848">
        <v>2664</v>
      </c>
      <c r="H848">
        <v>8878</v>
      </c>
      <c r="I848">
        <v>2.5099999999999998</v>
      </c>
      <c r="J848">
        <v>77</v>
      </c>
      <c r="Q848">
        <f t="shared" si="879"/>
        <v>237649</v>
      </c>
    </row>
    <row r="849" spans="1:18" x14ac:dyDescent="0.25">
      <c r="A849" t="s">
        <v>2040</v>
      </c>
      <c r="B849" t="s">
        <v>2041</v>
      </c>
      <c r="C849" t="s">
        <v>14</v>
      </c>
      <c r="D849" t="s">
        <v>9</v>
      </c>
      <c r="E849" t="s">
        <v>2042</v>
      </c>
      <c r="F849" t="s">
        <v>5</v>
      </c>
      <c r="G849">
        <v>11301</v>
      </c>
      <c r="H849">
        <v>5420</v>
      </c>
      <c r="I849">
        <v>3.56</v>
      </c>
      <c r="J849">
        <v>96</v>
      </c>
      <c r="K849">
        <f t="shared" ref="K849" ca="1" si="886">IF(F849="Enrolled", TODAY()-E849, "")</f>
        <v>1175</v>
      </c>
      <c r="M849">
        <f ca="1">IF(F849="Enrolled",TODAY() - E849,"")</f>
        <v>1175</v>
      </c>
      <c r="N849" t="str">
        <f>IF(I851&gt;=3.5,"Excellent",IF(I851&gt;=3,"Good",IF(I851&gt;=2,"Average","Poor")))</f>
        <v>Average</v>
      </c>
      <c r="O849" t="e">
        <f>VLOOKUP(D849, $T$18:$U$23, 2, FALSE)</f>
        <v>#N/A</v>
      </c>
      <c r="P849" t="str">
        <f t="shared" ref="P849" si="887">IF(H849 &gt; 0.5 * G849, "YES", "NO")</f>
        <v>NO</v>
      </c>
      <c r="Q849">
        <f t="shared" si="879"/>
        <v>237649</v>
      </c>
      <c r="R849" t="str">
        <f t="shared" ref="R849" si="888">IF(MONTH(E843)&gt;=6, YEAR(E843) &amp; "-" &amp; YEAR(E843)+1, YEAR(E843)-1 &amp; "-" &amp; YEAR(E843))</f>
        <v>2021-2022</v>
      </c>
    </row>
    <row r="850" spans="1:18" hidden="1" x14ac:dyDescent="0.25">
      <c r="A850" t="s">
        <v>2043</v>
      </c>
      <c r="B850" t="s">
        <v>2044</v>
      </c>
      <c r="C850" t="s">
        <v>14</v>
      </c>
      <c r="D850" t="s">
        <v>25</v>
      </c>
      <c r="E850" s="1">
        <v>45025</v>
      </c>
      <c r="F850" t="s">
        <v>11</v>
      </c>
      <c r="G850">
        <v>4379</v>
      </c>
      <c r="H850">
        <v>9901</v>
      </c>
      <c r="I850">
        <v>2.65</v>
      </c>
      <c r="J850">
        <v>39</v>
      </c>
      <c r="Q850">
        <f t="shared" si="879"/>
        <v>237649</v>
      </c>
    </row>
    <row r="851" spans="1:18" x14ac:dyDescent="0.25">
      <c r="A851" t="s">
        <v>2045</v>
      </c>
      <c r="B851" t="s">
        <v>2046</v>
      </c>
      <c r="C851" t="s">
        <v>21</v>
      </c>
      <c r="D851" t="s">
        <v>65</v>
      </c>
      <c r="E851" t="s">
        <v>1029</v>
      </c>
      <c r="F851" t="s">
        <v>5</v>
      </c>
      <c r="G851">
        <v>13197</v>
      </c>
      <c r="H851">
        <v>2495</v>
      </c>
      <c r="I851">
        <v>2.7</v>
      </c>
      <c r="J851">
        <v>26</v>
      </c>
      <c r="K851">
        <f t="shared" ref="K851" ca="1" si="889">IF(F851="Enrolled", TODAY()-E851, "")</f>
        <v>1200</v>
      </c>
      <c r="M851">
        <f ca="1">IF(F851="Enrolled",TODAY() - E851,"")</f>
        <v>1200</v>
      </c>
      <c r="N851" t="str">
        <f>IF(I853&gt;=3.5,"Excellent",IF(I853&gt;=3,"Good",IF(I853&gt;=2,"Average","Poor")))</f>
        <v>Average</v>
      </c>
      <c r="O851" t="e">
        <f>VLOOKUP(D851, $T$18:$U$23, 2, FALSE)</f>
        <v>#N/A</v>
      </c>
      <c r="P851" t="str">
        <f t="shared" ref="P851" si="890">IF(H851 &gt; 0.5 * G851, "YES", "NO")</f>
        <v>NO</v>
      </c>
      <c r="Q851">
        <f t="shared" si="879"/>
        <v>237649</v>
      </c>
      <c r="R851" t="str">
        <f t="shared" ref="R851" si="891">IF(MONTH(E845)&gt;=6, YEAR(E845) &amp; "-" &amp; YEAR(E845)+1, YEAR(E845)-1 &amp; "-" &amp; YEAR(E845))</f>
        <v>2022-2023</v>
      </c>
    </row>
    <row r="852" spans="1:18" hidden="1" x14ac:dyDescent="0.25">
      <c r="A852" t="s">
        <v>2047</v>
      </c>
      <c r="B852" t="s">
        <v>2048</v>
      </c>
      <c r="C852" t="s">
        <v>58</v>
      </c>
      <c r="D852" t="s">
        <v>9</v>
      </c>
      <c r="E852" s="1">
        <v>45179</v>
      </c>
      <c r="F852" t="s">
        <v>11</v>
      </c>
      <c r="G852">
        <v>14472</v>
      </c>
      <c r="H852">
        <v>8730</v>
      </c>
      <c r="I852">
        <v>3.43</v>
      </c>
      <c r="J852">
        <v>18</v>
      </c>
      <c r="Q852">
        <f t="shared" si="879"/>
        <v>237649</v>
      </c>
    </row>
    <row r="853" spans="1:18" hidden="1" x14ac:dyDescent="0.25">
      <c r="A853" t="s">
        <v>2049</v>
      </c>
      <c r="B853" t="s">
        <v>2050</v>
      </c>
      <c r="C853" t="s">
        <v>14</v>
      </c>
      <c r="D853" t="s">
        <v>65</v>
      </c>
      <c r="E853" t="s">
        <v>946</v>
      </c>
      <c r="F853" t="s">
        <v>11</v>
      </c>
      <c r="G853">
        <v>6807</v>
      </c>
      <c r="H853">
        <v>8983</v>
      </c>
      <c r="I853">
        <v>2.98</v>
      </c>
      <c r="J853">
        <v>47</v>
      </c>
      <c r="Q853">
        <f t="shared" si="879"/>
        <v>223177</v>
      </c>
    </row>
    <row r="854" spans="1:18" x14ac:dyDescent="0.25">
      <c r="A854" t="s">
        <v>2051</v>
      </c>
      <c r="B854" t="s">
        <v>2052</v>
      </c>
      <c r="C854" t="s">
        <v>17</v>
      </c>
      <c r="D854" t="s">
        <v>9</v>
      </c>
      <c r="E854" t="s">
        <v>837</v>
      </c>
      <c r="F854" t="s">
        <v>5</v>
      </c>
      <c r="G854">
        <v>5918</v>
      </c>
      <c r="H854">
        <v>3347</v>
      </c>
      <c r="I854">
        <v>2.04</v>
      </c>
      <c r="J854">
        <v>105</v>
      </c>
      <c r="K854">
        <f t="shared" ref="K854" ca="1" si="892">IF(F854="Enrolled", TODAY()-E854, "")</f>
        <v>1327</v>
      </c>
      <c r="M854">
        <f ca="1">IF(F854="Enrolled",TODAY() - E854,"")</f>
        <v>1327</v>
      </c>
      <c r="N854" t="str">
        <f>IF(I856&gt;=3.5,"Excellent",IF(I856&gt;=3,"Good",IF(I856&gt;=2,"Average","Poor")))</f>
        <v>Good</v>
      </c>
      <c r="O854" t="e">
        <f>VLOOKUP(D854, $T$18:$U$23, 2, FALSE)</f>
        <v>#N/A</v>
      </c>
      <c r="P854" t="str">
        <f t="shared" ref="P854" si="893">IF(H854 &gt; 0.5 * G854, "YES", "NO")</f>
        <v>YES</v>
      </c>
      <c r="Q854">
        <f t="shared" si="879"/>
        <v>223177</v>
      </c>
      <c r="R854" t="str">
        <f t="shared" ref="R854" si="894">IF(MONTH(E848)&gt;=6, YEAR(E848) &amp; "-" &amp; YEAR(E848)+1, YEAR(E848)-1 &amp; "-" &amp; YEAR(E848))</f>
        <v>2021-2022</v>
      </c>
    </row>
    <row r="855" spans="1:18" hidden="1" x14ac:dyDescent="0.25">
      <c r="A855" t="s">
        <v>2053</v>
      </c>
      <c r="B855" t="s">
        <v>2054</v>
      </c>
      <c r="C855" t="s">
        <v>8</v>
      </c>
      <c r="D855" t="s">
        <v>25</v>
      </c>
      <c r="E855" s="1">
        <v>45240</v>
      </c>
      <c r="F855" t="s">
        <v>11</v>
      </c>
      <c r="G855">
        <v>6149</v>
      </c>
      <c r="H855">
        <v>4635</v>
      </c>
      <c r="I855">
        <v>2.63</v>
      </c>
      <c r="J855">
        <v>118</v>
      </c>
      <c r="Q855">
        <f t="shared" si="879"/>
        <v>223177</v>
      </c>
    </row>
    <row r="856" spans="1:18" x14ac:dyDescent="0.25">
      <c r="A856" t="s">
        <v>2055</v>
      </c>
      <c r="B856" t="s">
        <v>2056</v>
      </c>
      <c r="C856" t="s">
        <v>55</v>
      </c>
      <c r="D856" t="s">
        <v>65</v>
      </c>
      <c r="E856" s="1">
        <v>45294</v>
      </c>
      <c r="F856" t="s">
        <v>5</v>
      </c>
      <c r="G856">
        <v>8365</v>
      </c>
      <c r="H856">
        <v>3533</v>
      </c>
      <c r="I856">
        <v>3.17</v>
      </c>
      <c r="J856">
        <v>15</v>
      </c>
      <c r="K856">
        <f t="shared" ref="K856:K858" ca="1" si="895">IF(F856="Enrolled", TODAY()-E856, "")</f>
        <v>673</v>
      </c>
      <c r="M856">
        <f t="shared" ref="M856:M858" ca="1" si="896">IF(F856="Enrolled",TODAY() - E856,"")</f>
        <v>673</v>
      </c>
      <c r="N856" t="str">
        <f t="shared" ref="N856:N858" si="897">IF(I858&gt;=3.5,"Excellent",IF(I858&gt;=3,"Good",IF(I858&gt;=2,"Average","Poor")))</f>
        <v>Average</v>
      </c>
      <c r="O856" t="e">
        <f t="shared" ref="O856:O858" si="898">VLOOKUP(D856, $T$18:$U$23, 2, FALSE)</f>
        <v>#N/A</v>
      </c>
      <c r="P856" t="str">
        <f t="shared" ref="P856:P858" si="899">IF(H856 &gt; 0.5 * G856, "YES", "NO")</f>
        <v>NO</v>
      </c>
      <c r="Q856">
        <f t="shared" si="879"/>
        <v>223177</v>
      </c>
      <c r="R856" t="str">
        <f t="shared" ref="R856:R858" si="900">IF(MONTH(E850)&gt;=6, YEAR(E850) &amp; "-" &amp; YEAR(E850)+1, YEAR(E850)-1 &amp; "-" &amp; YEAR(E850))</f>
        <v>2022-2023</v>
      </c>
    </row>
    <row r="857" spans="1:18" x14ac:dyDescent="0.25">
      <c r="A857" t="s">
        <v>2057</v>
      </c>
      <c r="B857" t="s">
        <v>2058</v>
      </c>
      <c r="C857" t="s">
        <v>2</v>
      </c>
      <c r="D857" t="s">
        <v>9</v>
      </c>
      <c r="E857" t="s">
        <v>1608</v>
      </c>
      <c r="F857" t="s">
        <v>5</v>
      </c>
      <c r="G857">
        <v>9612</v>
      </c>
      <c r="H857">
        <v>1018</v>
      </c>
      <c r="I857">
        <v>3.25</v>
      </c>
      <c r="J857">
        <v>88</v>
      </c>
      <c r="K857">
        <f t="shared" ca="1" si="895"/>
        <v>833</v>
      </c>
      <c r="M857">
        <f t="shared" ca="1" si="896"/>
        <v>833</v>
      </c>
      <c r="N857" t="str">
        <f t="shared" si="897"/>
        <v>Good</v>
      </c>
      <c r="O857" t="e">
        <f t="shared" si="898"/>
        <v>#N/A</v>
      </c>
      <c r="P857" t="str">
        <f t="shared" si="899"/>
        <v>NO</v>
      </c>
      <c r="Q857">
        <f t="shared" si="879"/>
        <v>223177</v>
      </c>
      <c r="R857" t="str">
        <f t="shared" si="900"/>
        <v>2022-2023</v>
      </c>
    </row>
    <row r="858" spans="1:18" x14ac:dyDescent="0.25">
      <c r="A858" t="s">
        <v>2059</v>
      </c>
      <c r="B858" t="s">
        <v>2060</v>
      </c>
      <c r="C858" t="s">
        <v>14</v>
      </c>
      <c r="D858" t="s">
        <v>9</v>
      </c>
      <c r="E858" t="s">
        <v>1846</v>
      </c>
      <c r="F858" t="s">
        <v>5</v>
      </c>
      <c r="G858">
        <v>10449</v>
      </c>
      <c r="H858">
        <v>7</v>
      </c>
      <c r="I858">
        <v>2.98</v>
      </c>
      <c r="J858">
        <v>54</v>
      </c>
      <c r="K858">
        <f t="shared" ca="1" si="895"/>
        <v>922</v>
      </c>
      <c r="M858">
        <f t="shared" ca="1" si="896"/>
        <v>922</v>
      </c>
      <c r="N858" t="str">
        <f t="shared" si="897"/>
        <v>Average</v>
      </c>
      <c r="O858" t="e">
        <f t="shared" si="898"/>
        <v>#N/A</v>
      </c>
      <c r="P858" t="str">
        <f t="shared" si="899"/>
        <v>NO</v>
      </c>
      <c r="Q858">
        <f t="shared" si="879"/>
        <v>223177</v>
      </c>
      <c r="R858" t="str">
        <f t="shared" si="900"/>
        <v>2023-2024</v>
      </c>
    </row>
    <row r="859" spans="1:18" hidden="1" x14ac:dyDescent="0.25">
      <c r="A859" t="s">
        <v>2061</v>
      </c>
      <c r="B859" t="s">
        <v>2062</v>
      </c>
      <c r="C859" t="s">
        <v>2</v>
      </c>
      <c r="D859" t="s">
        <v>3</v>
      </c>
      <c r="E859" t="s">
        <v>2063</v>
      </c>
      <c r="F859" t="s">
        <v>11</v>
      </c>
      <c r="G859">
        <v>7352</v>
      </c>
      <c r="H859">
        <v>3682</v>
      </c>
      <c r="I859">
        <v>3.34</v>
      </c>
      <c r="J859">
        <v>100</v>
      </c>
      <c r="Q859">
        <f t="shared" si="879"/>
        <v>223177</v>
      </c>
    </row>
    <row r="860" spans="1:18" x14ac:dyDescent="0.25">
      <c r="A860" t="s">
        <v>2064</v>
      </c>
      <c r="B860" t="s">
        <v>2065</v>
      </c>
      <c r="C860" t="s">
        <v>21</v>
      </c>
      <c r="D860" t="s">
        <v>3</v>
      </c>
      <c r="E860" t="s">
        <v>2066</v>
      </c>
      <c r="F860" t="s">
        <v>5</v>
      </c>
      <c r="G860">
        <v>2312</v>
      </c>
      <c r="H860">
        <v>6130</v>
      </c>
      <c r="I860">
        <v>2.66</v>
      </c>
      <c r="J860">
        <v>54</v>
      </c>
      <c r="K860">
        <f t="shared" ref="K860:K865" ca="1" si="901">IF(F860="Enrolled", TODAY()-E860, "")</f>
        <v>717</v>
      </c>
      <c r="M860">
        <f t="shared" ref="M860:M865" ca="1" si="902">IF(F860="Enrolled",TODAY() - E860,"")</f>
        <v>717</v>
      </c>
      <c r="N860" t="str">
        <f t="shared" ref="N860:N865" si="903">IF(I862&gt;=3.5,"Excellent",IF(I862&gt;=3,"Good",IF(I862&gt;=2,"Average","Poor")))</f>
        <v>Average</v>
      </c>
      <c r="O860" t="e">
        <f t="shared" ref="O860:O865" si="904">VLOOKUP(D860, $T$18:$U$23, 2, FALSE)</f>
        <v>#N/A</v>
      </c>
      <c r="P860" t="str">
        <f t="shared" ref="P860:P863" si="905">IF(H860 &gt; 0.5 * G860, "YES", "NO")</f>
        <v>YES</v>
      </c>
      <c r="Q860">
        <f t="shared" si="879"/>
        <v>223177</v>
      </c>
      <c r="R860" t="str">
        <f t="shared" ref="R860:R865" si="906">IF(MONTH(E854)&gt;=6, YEAR(E854) &amp; "-" &amp; YEAR(E854)+1, YEAR(E854)-1 &amp; "-" &amp; YEAR(E854))</f>
        <v>2021-2022</v>
      </c>
    </row>
    <row r="861" spans="1:18" x14ac:dyDescent="0.25">
      <c r="A861" t="s">
        <v>2067</v>
      </c>
      <c r="B861" t="s">
        <v>2068</v>
      </c>
      <c r="C861" t="s">
        <v>58</v>
      </c>
      <c r="D861" t="s">
        <v>65</v>
      </c>
      <c r="E861" s="1">
        <v>44569</v>
      </c>
      <c r="F861" t="s">
        <v>5</v>
      </c>
      <c r="G861">
        <v>12046</v>
      </c>
      <c r="H861">
        <v>1594</v>
      </c>
      <c r="I861">
        <v>2.35</v>
      </c>
      <c r="J861">
        <v>31</v>
      </c>
      <c r="K861">
        <f t="shared" ca="1" si="901"/>
        <v>1398</v>
      </c>
      <c r="M861">
        <f t="shared" ca="1" si="902"/>
        <v>1398</v>
      </c>
      <c r="N861" t="str">
        <f t="shared" si="903"/>
        <v>Average</v>
      </c>
      <c r="O861" t="e">
        <f t="shared" si="904"/>
        <v>#N/A</v>
      </c>
      <c r="P861" t="str">
        <f t="shared" si="905"/>
        <v>NO</v>
      </c>
      <c r="Q861">
        <f t="shared" si="879"/>
        <v>223177</v>
      </c>
      <c r="R861" t="str">
        <f t="shared" si="906"/>
        <v>2023-2024</v>
      </c>
    </row>
    <row r="862" spans="1:18" x14ac:dyDescent="0.25">
      <c r="A862" t="s">
        <v>2069</v>
      </c>
      <c r="B862" t="s">
        <v>2070</v>
      </c>
      <c r="C862" t="s">
        <v>8</v>
      </c>
      <c r="D862" t="s">
        <v>25</v>
      </c>
      <c r="E862" t="s">
        <v>195</v>
      </c>
      <c r="F862" t="s">
        <v>5</v>
      </c>
      <c r="G862">
        <v>6750</v>
      </c>
      <c r="H862">
        <v>6005</v>
      </c>
      <c r="I862">
        <v>2.2799999999999998</v>
      </c>
      <c r="J862">
        <v>114</v>
      </c>
      <c r="K862">
        <f t="shared" ca="1" si="901"/>
        <v>870</v>
      </c>
      <c r="M862">
        <f t="shared" ca="1" si="902"/>
        <v>870</v>
      </c>
      <c r="N862" t="str">
        <f t="shared" si="903"/>
        <v>Good</v>
      </c>
      <c r="O862" t="e">
        <f t="shared" si="904"/>
        <v>#N/A</v>
      </c>
      <c r="P862" t="str">
        <f t="shared" si="905"/>
        <v>YES</v>
      </c>
      <c r="Q862">
        <f t="shared" si="879"/>
        <v>223177</v>
      </c>
      <c r="R862" t="str">
        <f t="shared" si="906"/>
        <v>2023-2024</v>
      </c>
    </row>
    <row r="863" spans="1:18" x14ac:dyDescent="0.25">
      <c r="A863" t="s">
        <v>2071</v>
      </c>
      <c r="B863" t="s">
        <v>2072</v>
      </c>
      <c r="C863" t="s">
        <v>32</v>
      </c>
      <c r="D863" t="s">
        <v>65</v>
      </c>
      <c r="E863" t="s">
        <v>71</v>
      </c>
      <c r="F863" t="s">
        <v>5</v>
      </c>
      <c r="G863">
        <v>4842</v>
      </c>
      <c r="H863">
        <v>7238</v>
      </c>
      <c r="I863">
        <v>2.0299999999999998</v>
      </c>
      <c r="J863">
        <v>46</v>
      </c>
      <c r="K863">
        <f t="shared" ca="1" si="901"/>
        <v>801</v>
      </c>
      <c r="M863">
        <f t="shared" ca="1" si="902"/>
        <v>801</v>
      </c>
      <c r="N863" t="str">
        <f t="shared" si="903"/>
        <v>Average</v>
      </c>
      <c r="O863" t="e">
        <f t="shared" si="904"/>
        <v>#N/A</v>
      </c>
      <c r="P863" t="str">
        <f t="shared" si="905"/>
        <v>YES</v>
      </c>
      <c r="Q863">
        <f t="shared" si="879"/>
        <v>223177</v>
      </c>
      <c r="R863" t="str">
        <f t="shared" si="906"/>
        <v>2023-2024</v>
      </c>
    </row>
    <row r="864" spans="1:18" x14ac:dyDescent="0.25">
      <c r="A864" t="s">
        <v>2073</v>
      </c>
      <c r="B864" t="s">
        <v>2074</v>
      </c>
      <c r="C864" t="s">
        <v>58</v>
      </c>
      <c r="D864" t="s">
        <v>9</v>
      </c>
      <c r="E864" t="s">
        <v>690</v>
      </c>
      <c r="F864" t="s">
        <v>5</v>
      </c>
      <c r="G864">
        <v>7267</v>
      </c>
      <c r="H864">
        <v>7428</v>
      </c>
      <c r="I864">
        <v>3.25</v>
      </c>
      <c r="J864">
        <v>115</v>
      </c>
      <c r="K864">
        <f t="shared" ca="1" si="901"/>
        <v>1320</v>
      </c>
      <c r="M864">
        <f t="shared" ca="1" si="902"/>
        <v>1320</v>
      </c>
      <c r="N864" t="str">
        <f t="shared" si="903"/>
        <v>Average</v>
      </c>
      <c r="O864" t="e">
        <f t="shared" si="904"/>
        <v>#N/A</v>
      </c>
      <c r="P864" t="str">
        <f>IF(H864 &gt; 0.5 * G864, "YES", "NO")</f>
        <v>YES</v>
      </c>
      <c r="Q864">
        <f t="shared" si="879"/>
        <v>223177</v>
      </c>
      <c r="R864" t="str">
        <f t="shared" si="906"/>
        <v>2022-2023</v>
      </c>
    </row>
    <row r="865" spans="1:18" x14ac:dyDescent="0.25">
      <c r="A865" t="s">
        <v>2075</v>
      </c>
      <c r="B865" t="s">
        <v>2076</v>
      </c>
      <c r="C865" t="s">
        <v>14</v>
      </c>
      <c r="D865" t="s">
        <v>9</v>
      </c>
      <c r="E865" t="s">
        <v>1726</v>
      </c>
      <c r="F865" t="s">
        <v>5</v>
      </c>
      <c r="G865">
        <v>8934</v>
      </c>
      <c r="H865">
        <v>7479</v>
      </c>
      <c r="I865">
        <v>2.29</v>
      </c>
      <c r="J865">
        <v>39</v>
      </c>
      <c r="K865">
        <f t="shared" ca="1" si="901"/>
        <v>1046</v>
      </c>
      <c r="M865">
        <f t="shared" ca="1" si="902"/>
        <v>1046</v>
      </c>
      <c r="N865" t="str">
        <f t="shared" si="903"/>
        <v>Average</v>
      </c>
      <c r="O865" t="e">
        <f t="shared" si="904"/>
        <v>#N/A</v>
      </c>
      <c r="P865" t="str">
        <f>IF(H865 &gt; 0.5 * G865, "YES", "NO")</f>
        <v>YES</v>
      </c>
      <c r="Q865">
        <f t="shared" si="879"/>
        <v>223177</v>
      </c>
      <c r="R865" t="str">
        <f t="shared" si="906"/>
        <v>2022-2023</v>
      </c>
    </row>
    <row r="866" spans="1:18" hidden="1" x14ac:dyDescent="0.25">
      <c r="A866" t="s">
        <v>2077</v>
      </c>
      <c r="B866" t="s">
        <v>2078</v>
      </c>
      <c r="C866" t="s">
        <v>55</v>
      </c>
      <c r="D866" t="s">
        <v>65</v>
      </c>
      <c r="E866" t="s">
        <v>868</v>
      </c>
      <c r="F866" t="s">
        <v>36</v>
      </c>
      <c r="G866">
        <v>10532</v>
      </c>
      <c r="H866">
        <v>6202</v>
      </c>
      <c r="I866">
        <v>2.93</v>
      </c>
      <c r="J866">
        <v>109</v>
      </c>
      <c r="Q866">
        <f t="shared" si="879"/>
        <v>223177</v>
      </c>
    </row>
    <row r="867" spans="1:18" hidden="1" x14ac:dyDescent="0.25">
      <c r="A867" t="s">
        <v>2079</v>
      </c>
      <c r="B867" t="s">
        <v>2080</v>
      </c>
      <c r="C867" t="s">
        <v>21</v>
      </c>
      <c r="D867" t="s">
        <v>9</v>
      </c>
      <c r="E867" t="s">
        <v>1332</v>
      </c>
      <c r="F867" t="s">
        <v>11</v>
      </c>
      <c r="G867">
        <v>2177</v>
      </c>
      <c r="H867">
        <v>9305</v>
      </c>
      <c r="I867">
        <v>2.5099999999999998</v>
      </c>
      <c r="J867">
        <v>50</v>
      </c>
      <c r="Q867">
        <f t="shared" si="879"/>
        <v>223177</v>
      </c>
    </row>
    <row r="868" spans="1:18" x14ac:dyDescent="0.25">
      <c r="A868" t="s">
        <v>2081</v>
      </c>
      <c r="B868" t="s">
        <v>2082</v>
      </c>
      <c r="C868" t="s">
        <v>58</v>
      </c>
      <c r="D868" t="s">
        <v>25</v>
      </c>
      <c r="E868" t="s">
        <v>2083</v>
      </c>
      <c r="F868" t="s">
        <v>5</v>
      </c>
      <c r="G868">
        <v>8971</v>
      </c>
      <c r="H868">
        <v>8015</v>
      </c>
      <c r="I868">
        <v>3.05</v>
      </c>
      <c r="J868">
        <v>106</v>
      </c>
      <c r="K868">
        <f t="shared" ref="K868" ca="1" si="907">IF(F868="Enrolled", TODAY()-E868, "")</f>
        <v>968</v>
      </c>
      <c r="M868">
        <f ca="1">IF(F868="Enrolled",TODAY() - E868,"")</f>
        <v>968</v>
      </c>
      <c r="N868" t="str">
        <f>IF(I870&gt;=3.5,"Excellent",IF(I870&gt;=3,"Good",IF(I870&gt;=2,"Average","Poor")))</f>
        <v>Average</v>
      </c>
      <c r="O868" t="e">
        <f>VLOOKUP(D868, $T$18:$U$23, 2, FALSE)</f>
        <v>#N/A</v>
      </c>
      <c r="P868" t="str">
        <f>IF(H868 &gt; 0.5 * G868, "YES", "NO")</f>
        <v>YES</v>
      </c>
      <c r="Q868">
        <f t="shared" si="879"/>
        <v>221000</v>
      </c>
      <c r="R868" t="str">
        <f t="shared" ref="R868" si="908">IF(MONTH(E862)&gt;=6, YEAR(E862) &amp; "-" &amp; YEAR(E862)+1, YEAR(E862)-1 &amp; "-" &amp; YEAR(E862))</f>
        <v>2023-2024</v>
      </c>
    </row>
    <row r="869" spans="1:18" hidden="1" x14ac:dyDescent="0.25">
      <c r="A869" t="s">
        <v>2084</v>
      </c>
      <c r="B869" t="s">
        <v>2085</v>
      </c>
      <c r="C869" t="s">
        <v>14</v>
      </c>
      <c r="D869" t="s">
        <v>25</v>
      </c>
      <c r="E869" s="1">
        <v>44627</v>
      </c>
      <c r="F869" t="s">
        <v>36</v>
      </c>
      <c r="G869">
        <v>13897</v>
      </c>
      <c r="H869">
        <v>7593</v>
      </c>
      <c r="I869">
        <v>3.25</v>
      </c>
      <c r="J869">
        <v>63</v>
      </c>
      <c r="Q869">
        <f t="shared" si="879"/>
        <v>221000</v>
      </c>
    </row>
    <row r="870" spans="1:18" x14ac:dyDescent="0.25">
      <c r="A870" t="s">
        <v>2086</v>
      </c>
      <c r="B870" t="s">
        <v>2087</v>
      </c>
      <c r="C870" t="s">
        <v>21</v>
      </c>
      <c r="D870" t="s">
        <v>3</v>
      </c>
      <c r="E870" s="1">
        <v>44628</v>
      </c>
      <c r="F870" t="s">
        <v>5</v>
      </c>
      <c r="G870">
        <v>5508</v>
      </c>
      <c r="H870">
        <v>7751</v>
      </c>
      <c r="I870">
        <v>2.0099999999999998</v>
      </c>
      <c r="J870">
        <v>17</v>
      </c>
      <c r="K870">
        <f t="shared" ref="K870:K875" ca="1" si="909">IF(F870="Enrolled", TODAY()-E870, "")</f>
        <v>1339</v>
      </c>
      <c r="M870">
        <f t="shared" ref="M870:M875" ca="1" si="910">IF(F870="Enrolled",TODAY() - E870,"")</f>
        <v>1339</v>
      </c>
      <c r="N870" t="str">
        <f t="shared" ref="N870:N875" si="911">IF(I872&gt;=3.5,"Excellent",IF(I872&gt;=3,"Good",IF(I872&gt;=2,"Average","Poor")))</f>
        <v>Average</v>
      </c>
      <c r="O870" t="e">
        <f t="shared" ref="O870:O875" si="912">VLOOKUP(D870, $T$18:$U$23, 2, FALSE)</f>
        <v>#N/A</v>
      </c>
      <c r="P870" t="str">
        <f t="shared" ref="P870:P875" si="913">IF(H870 &gt; 0.5 * G870, "YES", "NO")</f>
        <v>YES</v>
      </c>
      <c r="Q870">
        <f t="shared" si="879"/>
        <v>221000</v>
      </c>
      <c r="R870" t="str">
        <f t="shared" ref="R870:R875" si="914">IF(MONTH(E864)&gt;=6, YEAR(E864) &amp; "-" &amp; YEAR(E864)+1, YEAR(E864)-1 &amp; "-" &amp; YEAR(E864))</f>
        <v>2021-2022</v>
      </c>
    </row>
    <row r="871" spans="1:18" x14ac:dyDescent="0.25">
      <c r="A871" t="s">
        <v>2088</v>
      </c>
      <c r="B871" t="s">
        <v>2089</v>
      </c>
      <c r="C871" t="s">
        <v>17</v>
      </c>
      <c r="D871" t="s">
        <v>3</v>
      </c>
      <c r="E871" t="s">
        <v>1693</v>
      </c>
      <c r="F871" t="s">
        <v>5</v>
      </c>
      <c r="G871">
        <v>12065</v>
      </c>
      <c r="H871">
        <v>2882</v>
      </c>
      <c r="I871">
        <v>2.35</v>
      </c>
      <c r="J871">
        <v>93</v>
      </c>
      <c r="K871">
        <f t="shared" ca="1" si="909"/>
        <v>716</v>
      </c>
      <c r="M871">
        <f t="shared" ca="1" si="910"/>
        <v>716</v>
      </c>
      <c r="N871" t="str">
        <f t="shared" si="911"/>
        <v>Good</v>
      </c>
      <c r="O871" t="e">
        <f t="shared" si="912"/>
        <v>#N/A</v>
      </c>
      <c r="P871" t="str">
        <f t="shared" si="913"/>
        <v>NO</v>
      </c>
      <c r="Q871">
        <f t="shared" si="879"/>
        <v>221000</v>
      </c>
      <c r="R871" t="str">
        <f t="shared" si="914"/>
        <v>2022-2023</v>
      </c>
    </row>
    <row r="872" spans="1:18" x14ac:dyDescent="0.25">
      <c r="A872" t="s">
        <v>2090</v>
      </c>
      <c r="B872" t="s">
        <v>2091</v>
      </c>
      <c r="C872" t="s">
        <v>58</v>
      </c>
      <c r="D872" t="s">
        <v>3</v>
      </c>
      <c r="E872" s="1">
        <v>45025</v>
      </c>
      <c r="F872" t="s">
        <v>5</v>
      </c>
      <c r="G872">
        <v>4499</v>
      </c>
      <c r="H872">
        <v>9517</v>
      </c>
      <c r="I872">
        <v>2.71</v>
      </c>
      <c r="J872">
        <v>2</v>
      </c>
      <c r="K872">
        <f t="shared" ca="1" si="909"/>
        <v>942</v>
      </c>
      <c r="M872">
        <f t="shared" ca="1" si="910"/>
        <v>942</v>
      </c>
      <c r="N872" t="str">
        <f t="shared" si="911"/>
        <v>Good</v>
      </c>
      <c r="O872" t="e">
        <f t="shared" si="912"/>
        <v>#N/A</v>
      </c>
      <c r="P872" t="str">
        <f t="shared" si="913"/>
        <v>YES</v>
      </c>
      <c r="Q872">
        <f t="shared" si="879"/>
        <v>221000</v>
      </c>
      <c r="R872" t="str">
        <f t="shared" si="914"/>
        <v>2021-2022</v>
      </c>
    </row>
    <row r="873" spans="1:18" x14ac:dyDescent="0.25">
      <c r="A873" t="s">
        <v>2092</v>
      </c>
      <c r="B873" t="s">
        <v>2093</v>
      </c>
      <c r="C873" t="s">
        <v>21</v>
      </c>
      <c r="D873" t="s">
        <v>65</v>
      </c>
      <c r="E873" t="s">
        <v>2094</v>
      </c>
      <c r="F873" t="s">
        <v>5</v>
      </c>
      <c r="G873">
        <v>12459</v>
      </c>
      <c r="H873">
        <v>889</v>
      </c>
      <c r="I873">
        <v>3.43</v>
      </c>
      <c r="J873">
        <v>57</v>
      </c>
      <c r="K873">
        <f t="shared" ca="1" si="909"/>
        <v>1079</v>
      </c>
      <c r="M873">
        <f t="shared" ca="1" si="910"/>
        <v>1079</v>
      </c>
      <c r="N873" t="str">
        <f t="shared" si="911"/>
        <v>Average</v>
      </c>
      <c r="O873" t="e">
        <f t="shared" si="912"/>
        <v>#N/A</v>
      </c>
      <c r="P873" t="str">
        <f t="shared" si="913"/>
        <v>NO</v>
      </c>
      <c r="Q873">
        <f t="shared" si="879"/>
        <v>221000</v>
      </c>
      <c r="R873" t="str">
        <f t="shared" si="914"/>
        <v>2023-2024</v>
      </c>
    </row>
    <row r="874" spans="1:18" x14ac:dyDescent="0.25">
      <c r="A874" t="s">
        <v>2095</v>
      </c>
      <c r="B874" t="s">
        <v>2096</v>
      </c>
      <c r="C874" t="s">
        <v>58</v>
      </c>
      <c r="D874" t="s">
        <v>3</v>
      </c>
      <c r="E874" s="1">
        <v>44961</v>
      </c>
      <c r="F874" t="s">
        <v>5</v>
      </c>
      <c r="G874">
        <v>4107</v>
      </c>
      <c r="H874">
        <v>6953</v>
      </c>
      <c r="I874">
        <v>3.32</v>
      </c>
      <c r="J874">
        <v>8</v>
      </c>
      <c r="K874">
        <f t="shared" ca="1" si="909"/>
        <v>1006</v>
      </c>
      <c r="M874">
        <f t="shared" ca="1" si="910"/>
        <v>1006</v>
      </c>
      <c r="N874" t="str">
        <f t="shared" si="911"/>
        <v>Average</v>
      </c>
      <c r="O874" t="e">
        <f t="shared" si="912"/>
        <v>#N/A</v>
      </c>
      <c r="P874" t="str">
        <f t="shared" si="913"/>
        <v>YES</v>
      </c>
      <c r="Q874">
        <f t="shared" si="879"/>
        <v>221000</v>
      </c>
      <c r="R874" t="str">
        <f t="shared" si="914"/>
        <v>2022-2023</v>
      </c>
    </row>
    <row r="875" spans="1:18" x14ac:dyDescent="0.25">
      <c r="A875" t="s">
        <v>2097</v>
      </c>
      <c r="B875" t="s">
        <v>2098</v>
      </c>
      <c r="C875" t="s">
        <v>32</v>
      </c>
      <c r="D875" t="s">
        <v>9</v>
      </c>
      <c r="E875" s="1">
        <v>44809</v>
      </c>
      <c r="F875" t="s">
        <v>5</v>
      </c>
      <c r="G875">
        <v>3251</v>
      </c>
      <c r="H875">
        <v>9829</v>
      </c>
      <c r="I875">
        <v>2.73</v>
      </c>
      <c r="J875">
        <v>60</v>
      </c>
      <c r="K875">
        <f t="shared" ca="1" si="909"/>
        <v>1158</v>
      </c>
      <c r="M875">
        <f t="shared" ca="1" si="910"/>
        <v>1158</v>
      </c>
      <c r="N875" t="str">
        <f t="shared" si="911"/>
        <v>Good</v>
      </c>
      <c r="O875" t="e">
        <f t="shared" si="912"/>
        <v>#N/A</v>
      </c>
      <c r="P875" t="str">
        <f t="shared" si="913"/>
        <v>YES</v>
      </c>
      <c r="Q875">
        <f t="shared" si="879"/>
        <v>221000</v>
      </c>
      <c r="R875" t="str">
        <f t="shared" si="914"/>
        <v>2021-2022</v>
      </c>
    </row>
    <row r="876" spans="1:18" hidden="1" x14ac:dyDescent="0.25">
      <c r="A876" t="s">
        <v>2099</v>
      </c>
      <c r="B876" t="s">
        <v>2100</v>
      </c>
      <c r="C876" t="s">
        <v>55</v>
      </c>
      <c r="D876" t="s">
        <v>9</v>
      </c>
      <c r="E876" t="s">
        <v>834</v>
      </c>
      <c r="F876" t="s">
        <v>36</v>
      </c>
      <c r="G876">
        <v>8000</v>
      </c>
      <c r="H876">
        <v>5181</v>
      </c>
      <c r="I876">
        <v>2.27</v>
      </c>
      <c r="J876">
        <v>92</v>
      </c>
      <c r="Q876">
        <f t="shared" si="879"/>
        <v>221000</v>
      </c>
    </row>
    <row r="877" spans="1:18" x14ac:dyDescent="0.25">
      <c r="A877" t="s">
        <v>2101</v>
      </c>
      <c r="B877" t="s">
        <v>2102</v>
      </c>
      <c r="C877" t="s">
        <v>58</v>
      </c>
      <c r="D877" t="s">
        <v>65</v>
      </c>
      <c r="E877" t="s">
        <v>2103</v>
      </c>
      <c r="F877" t="s">
        <v>5</v>
      </c>
      <c r="G877">
        <v>4905</v>
      </c>
      <c r="H877">
        <v>8239</v>
      </c>
      <c r="I877">
        <v>3.24</v>
      </c>
      <c r="J877">
        <v>13</v>
      </c>
      <c r="K877">
        <f t="shared" ref="K877:K878" ca="1" si="915">IF(F877="Enrolled", TODAY()-E877, "")</f>
        <v>562</v>
      </c>
      <c r="M877">
        <f t="shared" ref="M877:M878" ca="1" si="916">IF(F877="Enrolled",TODAY() - E877,"")</f>
        <v>562</v>
      </c>
      <c r="N877" t="str">
        <f t="shared" ref="N877:N878" si="917">IF(I879&gt;=3.5,"Excellent",IF(I879&gt;=3,"Good",IF(I879&gt;=2,"Average","Poor")))</f>
        <v>Good</v>
      </c>
      <c r="O877" t="e">
        <f t="shared" ref="O877:O878" si="918">VLOOKUP(D877, $T$18:$U$23, 2, FALSE)</f>
        <v>#N/A</v>
      </c>
      <c r="P877" t="str">
        <f>IF(H877 &gt; 0.5 * G877, "YES", "NO")</f>
        <v>YES</v>
      </c>
      <c r="Q877">
        <f t="shared" si="879"/>
        <v>221000</v>
      </c>
      <c r="R877" t="str">
        <f t="shared" ref="R877:R878" si="919">IF(MONTH(E871)&gt;=6, YEAR(E871) &amp; "-" &amp; YEAR(E871)+1, YEAR(E871)-1 &amp; "-" &amp; YEAR(E871))</f>
        <v>2023-2024</v>
      </c>
    </row>
    <row r="878" spans="1:18" x14ac:dyDescent="0.25">
      <c r="A878" t="s">
        <v>2104</v>
      </c>
      <c r="B878" t="s">
        <v>2105</v>
      </c>
      <c r="C878" t="s">
        <v>32</v>
      </c>
      <c r="D878" t="s">
        <v>65</v>
      </c>
      <c r="E878" t="s">
        <v>1648</v>
      </c>
      <c r="F878" t="s">
        <v>5</v>
      </c>
      <c r="G878">
        <v>12331</v>
      </c>
      <c r="H878">
        <v>1249</v>
      </c>
      <c r="I878">
        <v>2.46</v>
      </c>
      <c r="J878">
        <v>29</v>
      </c>
      <c r="K878">
        <f t="shared" ca="1" si="915"/>
        <v>896</v>
      </c>
      <c r="M878">
        <f t="shared" ca="1" si="916"/>
        <v>896</v>
      </c>
      <c r="N878" t="str">
        <f t="shared" si="917"/>
        <v>Excellent</v>
      </c>
      <c r="O878" t="e">
        <f t="shared" si="918"/>
        <v>#N/A</v>
      </c>
      <c r="P878" t="str">
        <f>IF(H878 &gt; 0.5 * G878, "YES", "NO")</f>
        <v>NO</v>
      </c>
      <c r="Q878">
        <f t="shared" si="879"/>
        <v>221000</v>
      </c>
      <c r="R878" t="str">
        <f t="shared" si="919"/>
        <v>2022-2023</v>
      </c>
    </row>
    <row r="879" spans="1:18" hidden="1" x14ac:dyDescent="0.25">
      <c r="A879" t="s">
        <v>2106</v>
      </c>
      <c r="B879" t="s">
        <v>2107</v>
      </c>
      <c r="C879" t="s">
        <v>58</v>
      </c>
      <c r="D879" t="s">
        <v>65</v>
      </c>
      <c r="E879" t="s">
        <v>2108</v>
      </c>
      <c r="F879" t="s">
        <v>36</v>
      </c>
      <c r="G879">
        <v>13471</v>
      </c>
      <c r="H879">
        <v>786</v>
      </c>
      <c r="I879">
        <v>3.26</v>
      </c>
      <c r="J879">
        <v>94</v>
      </c>
      <c r="Q879">
        <f t="shared" si="879"/>
        <v>221000</v>
      </c>
    </row>
    <row r="880" spans="1:18" x14ac:dyDescent="0.25">
      <c r="A880" t="s">
        <v>2109</v>
      </c>
      <c r="B880" t="s">
        <v>2110</v>
      </c>
      <c r="C880" t="s">
        <v>14</v>
      </c>
      <c r="D880" t="s">
        <v>25</v>
      </c>
      <c r="E880" t="s">
        <v>237</v>
      </c>
      <c r="F880" t="s">
        <v>5</v>
      </c>
      <c r="G880">
        <v>9678</v>
      </c>
      <c r="H880">
        <v>6115</v>
      </c>
      <c r="I880">
        <v>3.56</v>
      </c>
      <c r="J880">
        <v>81</v>
      </c>
      <c r="K880">
        <f t="shared" ref="K880:K884" ca="1" si="920">IF(F880="Enrolled", TODAY()-E880, "")</f>
        <v>1073</v>
      </c>
      <c r="M880">
        <f t="shared" ref="M880:M884" ca="1" si="921">IF(F880="Enrolled",TODAY() - E880,"")</f>
        <v>1073</v>
      </c>
      <c r="N880" t="str">
        <f t="shared" ref="N880:N884" si="922">IF(I882&gt;=3.5,"Excellent",IF(I882&gt;=3,"Good",IF(I882&gt;=2,"Average","Poor")))</f>
        <v>Good</v>
      </c>
      <c r="O880" t="e">
        <f t="shared" ref="O880:O884" si="923">VLOOKUP(D880, $T$18:$U$23, 2, FALSE)</f>
        <v>#N/A</v>
      </c>
      <c r="P880" t="str">
        <f t="shared" ref="P880:P884" si="924">IF(H880 &gt; 0.5 * G880, "YES", "NO")</f>
        <v>YES</v>
      </c>
      <c r="Q880">
        <f t="shared" si="879"/>
        <v>221000</v>
      </c>
      <c r="R880" t="str">
        <f t="shared" ref="R880:R884" si="925">IF(MONTH(E874)&gt;=6, YEAR(E874) &amp; "-" &amp; YEAR(E874)+1, YEAR(E874)-1 &amp; "-" &amp; YEAR(E874))</f>
        <v>2022-2023</v>
      </c>
    </row>
    <row r="881" spans="1:18" x14ac:dyDescent="0.25">
      <c r="A881" t="s">
        <v>2111</v>
      </c>
      <c r="B881" t="s">
        <v>2112</v>
      </c>
      <c r="C881" t="s">
        <v>8</v>
      </c>
      <c r="D881" t="s">
        <v>3</v>
      </c>
      <c r="E881" t="s">
        <v>2113</v>
      </c>
      <c r="F881" t="s">
        <v>5</v>
      </c>
      <c r="G881">
        <v>9888</v>
      </c>
      <c r="H881">
        <v>7169</v>
      </c>
      <c r="I881">
        <v>3.71</v>
      </c>
      <c r="J881">
        <v>15</v>
      </c>
      <c r="K881">
        <f t="shared" ca="1" si="920"/>
        <v>1171</v>
      </c>
      <c r="M881">
        <f t="shared" ca="1" si="921"/>
        <v>1171</v>
      </c>
      <c r="N881" t="str">
        <f t="shared" si="922"/>
        <v>Average</v>
      </c>
      <c r="O881" t="e">
        <f t="shared" si="923"/>
        <v>#N/A</v>
      </c>
      <c r="P881" t="str">
        <f t="shared" si="924"/>
        <v>YES</v>
      </c>
      <c r="Q881">
        <f t="shared" si="879"/>
        <v>221000</v>
      </c>
      <c r="R881" t="str">
        <f t="shared" si="925"/>
        <v>2022-2023</v>
      </c>
    </row>
    <row r="882" spans="1:18" x14ac:dyDescent="0.25">
      <c r="A882" t="s">
        <v>2114</v>
      </c>
      <c r="B882" t="s">
        <v>2115</v>
      </c>
      <c r="C882" t="s">
        <v>17</v>
      </c>
      <c r="D882" t="s">
        <v>9</v>
      </c>
      <c r="E882" t="s">
        <v>605</v>
      </c>
      <c r="F882" t="s">
        <v>5</v>
      </c>
      <c r="G882">
        <v>11687</v>
      </c>
      <c r="H882">
        <v>8105</v>
      </c>
      <c r="I882">
        <v>3.45</v>
      </c>
      <c r="J882">
        <v>89</v>
      </c>
      <c r="K882">
        <f t="shared" ca="1" si="920"/>
        <v>1012</v>
      </c>
      <c r="M882">
        <f t="shared" ca="1" si="921"/>
        <v>1012</v>
      </c>
      <c r="N882" t="str">
        <f t="shared" si="922"/>
        <v>Good</v>
      </c>
      <c r="O882" t="e">
        <f t="shared" si="923"/>
        <v>#N/A</v>
      </c>
      <c r="P882" t="str">
        <f t="shared" si="924"/>
        <v>YES</v>
      </c>
      <c r="Q882">
        <f t="shared" si="879"/>
        <v>221000</v>
      </c>
      <c r="R882" t="str">
        <f t="shared" si="925"/>
        <v>2021-2022</v>
      </c>
    </row>
    <row r="883" spans="1:18" x14ac:dyDescent="0.25">
      <c r="A883" t="s">
        <v>2116</v>
      </c>
      <c r="B883" t="s">
        <v>2117</v>
      </c>
      <c r="C883" t="s">
        <v>32</v>
      </c>
      <c r="D883" t="s">
        <v>3</v>
      </c>
      <c r="E883" s="1">
        <v>45235</v>
      </c>
      <c r="F883" t="s">
        <v>5</v>
      </c>
      <c r="G883">
        <v>7453</v>
      </c>
      <c r="H883">
        <v>143</v>
      </c>
      <c r="I883">
        <v>2.73</v>
      </c>
      <c r="J883">
        <v>64</v>
      </c>
      <c r="K883">
        <f t="shared" ca="1" si="920"/>
        <v>732</v>
      </c>
      <c r="M883">
        <f t="shared" ca="1" si="921"/>
        <v>732</v>
      </c>
      <c r="N883" t="str">
        <f t="shared" si="922"/>
        <v>Average</v>
      </c>
      <c r="O883" t="e">
        <f t="shared" si="923"/>
        <v>#N/A</v>
      </c>
      <c r="P883" t="str">
        <f t="shared" si="924"/>
        <v>NO</v>
      </c>
      <c r="Q883">
        <f t="shared" si="879"/>
        <v>221000</v>
      </c>
      <c r="R883" t="str">
        <f t="shared" si="925"/>
        <v>2023-2024</v>
      </c>
    </row>
    <row r="884" spans="1:18" x14ac:dyDescent="0.25">
      <c r="A884" t="s">
        <v>2118</v>
      </c>
      <c r="B884" t="s">
        <v>2119</v>
      </c>
      <c r="C884" t="s">
        <v>21</v>
      </c>
      <c r="D884" t="s">
        <v>65</v>
      </c>
      <c r="E884" s="1">
        <v>45078</v>
      </c>
      <c r="F884" t="s">
        <v>5</v>
      </c>
      <c r="G884">
        <v>8695</v>
      </c>
      <c r="H884">
        <v>7266</v>
      </c>
      <c r="I884">
        <v>3.03</v>
      </c>
      <c r="J884">
        <v>71</v>
      </c>
      <c r="K884">
        <f t="shared" ca="1" si="920"/>
        <v>889</v>
      </c>
      <c r="M884">
        <f t="shared" ca="1" si="921"/>
        <v>889</v>
      </c>
      <c r="N884" t="str">
        <f t="shared" si="922"/>
        <v>Excellent</v>
      </c>
      <c r="O884" t="e">
        <f t="shared" si="923"/>
        <v>#N/A</v>
      </c>
      <c r="P884" t="str">
        <f t="shared" si="924"/>
        <v>YES</v>
      </c>
      <c r="Q884">
        <f t="shared" si="879"/>
        <v>221000</v>
      </c>
      <c r="R884" t="str">
        <f t="shared" si="925"/>
        <v>2022-2023</v>
      </c>
    </row>
    <row r="885" spans="1:18" hidden="1" x14ac:dyDescent="0.25">
      <c r="A885" t="s">
        <v>2120</v>
      </c>
      <c r="B885" t="s">
        <v>2121</v>
      </c>
      <c r="C885" t="s">
        <v>58</v>
      </c>
      <c r="D885" t="s">
        <v>25</v>
      </c>
      <c r="E885" t="s">
        <v>1080</v>
      </c>
      <c r="F885" t="s">
        <v>11</v>
      </c>
      <c r="G885">
        <v>4856</v>
      </c>
      <c r="H885">
        <v>878</v>
      </c>
      <c r="I885">
        <v>2.65</v>
      </c>
      <c r="J885">
        <v>29</v>
      </c>
      <c r="Q885">
        <f t="shared" si="879"/>
        <v>221000</v>
      </c>
    </row>
    <row r="886" spans="1:18" hidden="1" x14ac:dyDescent="0.25">
      <c r="A886" t="s">
        <v>2122</v>
      </c>
      <c r="B886" t="s">
        <v>2123</v>
      </c>
      <c r="C886" t="s">
        <v>2</v>
      </c>
      <c r="D886" t="s">
        <v>65</v>
      </c>
      <c r="E886" s="1">
        <v>44937</v>
      </c>
      <c r="F886" t="s">
        <v>36</v>
      </c>
      <c r="G886">
        <v>6249</v>
      </c>
      <c r="H886">
        <v>1193</v>
      </c>
      <c r="I886">
        <v>3.99</v>
      </c>
      <c r="J886">
        <v>59</v>
      </c>
      <c r="Q886">
        <f t="shared" si="879"/>
        <v>221000</v>
      </c>
    </row>
    <row r="887" spans="1:18" x14ac:dyDescent="0.25">
      <c r="A887" t="s">
        <v>2124</v>
      </c>
      <c r="B887" t="s">
        <v>2125</v>
      </c>
      <c r="C887" t="s">
        <v>58</v>
      </c>
      <c r="D887" t="s">
        <v>25</v>
      </c>
      <c r="E887" s="1">
        <v>45352</v>
      </c>
      <c r="F887" t="s">
        <v>5</v>
      </c>
      <c r="G887">
        <v>14319</v>
      </c>
      <c r="H887">
        <v>4428</v>
      </c>
      <c r="I887">
        <v>3.31</v>
      </c>
      <c r="J887">
        <v>36</v>
      </c>
      <c r="K887">
        <f t="shared" ref="K887:K892" ca="1" si="926">IF(F887="Enrolled", TODAY()-E887, "")</f>
        <v>615</v>
      </c>
      <c r="M887">
        <f t="shared" ref="M887:M892" ca="1" si="927">IF(F887="Enrolled",TODAY() - E887,"")</f>
        <v>615</v>
      </c>
      <c r="N887" t="str">
        <f t="shared" ref="N887:N892" si="928">IF(I889&gt;=3.5,"Excellent",IF(I889&gt;=3,"Good",IF(I889&gt;=2,"Average","Poor")))</f>
        <v>Average</v>
      </c>
      <c r="O887" t="e">
        <f t="shared" ref="O887:O892" si="929">VLOOKUP(D887, $T$18:$U$23, 2, FALSE)</f>
        <v>#N/A</v>
      </c>
      <c r="P887" t="str">
        <f t="shared" ref="P887:P892" si="930">IF(H887 &gt; 0.5 * G887, "YES", "NO")</f>
        <v>NO</v>
      </c>
      <c r="Q887">
        <f t="shared" si="879"/>
        <v>221000</v>
      </c>
      <c r="R887" t="str">
        <f t="shared" ref="R887:R892" si="931">IF(MONTH(E881)&gt;=6, YEAR(E881) &amp; "-" &amp; YEAR(E881)+1, YEAR(E881)-1 &amp; "-" &amp; YEAR(E881))</f>
        <v>2022-2023</v>
      </c>
    </row>
    <row r="888" spans="1:18" x14ac:dyDescent="0.25">
      <c r="A888" t="s">
        <v>2126</v>
      </c>
      <c r="B888" t="s">
        <v>2127</v>
      </c>
      <c r="C888" t="s">
        <v>32</v>
      </c>
      <c r="D888" t="s">
        <v>25</v>
      </c>
      <c r="E888" t="s">
        <v>1472</v>
      </c>
      <c r="F888" t="s">
        <v>5</v>
      </c>
      <c r="G888">
        <v>2324</v>
      </c>
      <c r="H888">
        <v>6152</v>
      </c>
      <c r="I888">
        <v>3.91</v>
      </c>
      <c r="J888">
        <v>18</v>
      </c>
      <c r="K888">
        <f t="shared" ca="1" si="926"/>
        <v>740</v>
      </c>
      <c r="M888">
        <f t="shared" ca="1" si="927"/>
        <v>740</v>
      </c>
      <c r="N888" t="str">
        <f t="shared" si="928"/>
        <v>Excellent</v>
      </c>
      <c r="O888" t="e">
        <f t="shared" si="929"/>
        <v>#N/A</v>
      </c>
      <c r="P888" t="str">
        <f t="shared" si="930"/>
        <v>YES</v>
      </c>
      <c r="Q888">
        <f t="shared" si="879"/>
        <v>221000</v>
      </c>
      <c r="R888" t="str">
        <f t="shared" si="931"/>
        <v>2022-2023</v>
      </c>
    </row>
    <row r="889" spans="1:18" x14ac:dyDescent="0.25">
      <c r="A889" t="s">
        <v>2128</v>
      </c>
      <c r="B889" t="s">
        <v>2129</v>
      </c>
      <c r="C889" t="s">
        <v>14</v>
      </c>
      <c r="D889" t="s">
        <v>3</v>
      </c>
      <c r="E889" s="1">
        <v>44899</v>
      </c>
      <c r="F889" t="s">
        <v>5</v>
      </c>
      <c r="G889">
        <v>6137</v>
      </c>
      <c r="H889">
        <v>1513</v>
      </c>
      <c r="I889">
        <v>2.93</v>
      </c>
      <c r="J889">
        <v>86</v>
      </c>
      <c r="K889">
        <f t="shared" ca="1" si="926"/>
        <v>1068</v>
      </c>
      <c r="M889">
        <f t="shared" ca="1" si="927"/>
        <v>1068</v>
      </c>
      <c r="N889" t="str">
        <f t="shared" si="928"/>
        <v>Average</v>
      </c>
      <c r="O889" t="e">
        <f t="shared" si="929"/>
        <v>#N/A</v>
      </c>
      <c r="P889" t="str">
        <f t="shared" si="930"/>
        <v>NO</v>
      </c>
      <c r="Q889">
        <f t="shared" si="879"/>
        <v>221000</v>
      </c>
      <c r="R889" t="str">
        <f t="shared" si="931"/>
        <v>2023-2024</v>
      </c>
    </row>
    <row r="890" spans="1:18" x14ac:dyDescent="0.25">
      <c r="A890" t="s">
        <v>2130</v>
      </c>
      <c r="B890" t="s">
        <v>2131</v>
      </c>
      <c r="C890" t="s">
        <v>2</v>
      </c>
      <c r="D890" t="s">
        <v>25</v>
      </c>
      <c r="E890" t="s">
        <v>556</v>
      </c>
      <c r="F890" t="s">
        <v>5</v>
      </c>
      <c r="G890">
        <v>3993</v>
      </c>
      <c r="H890">
        <v>488</v>
      </c>
      <c r="I890">
        <v>3.87</v>
      </c>
      <c r="J890">
        <v>30</v>
      </c>
      <c r="K890">
        <f t="shared" ca="1" si="926"/>
        <v>810</v>
      </c>
      <c r="M890">
        <f t="shared" ca="1" si="927"/>
        <v>810</v>
      </c>
      <c r="N890" t="str">
        <f t="shared" si="928"/>
        <v>Average</v>
      </c>
      <c r="O890" t="e">
        <f t="shared" si="929"/>
        <v>#N/A</v>
      </c>
      <c r="P890" t="str">
        <f t="shared" si="930"/>
        <v>NO</v>
      </c>
      <c r="Q890">
        <f t="shared" si="879"/>
        <v>221000</v>
      </c>
      <c r="R890" t="str">
        <f t="shared" si="931"/>
        <v>2023-2024</v>
      </c>
    </row>
    <row r="891" spans="1:18" x14ac:dyDescent="0.25">
      <c r="A891" t="s">
        <v>2132</v>
      </c>
      <c r="B891" t="s">
        <v>2133</v>
      </c>
      <c r="C891" t="s">
        <v>55</v>
      </c>
      <c r="D891" t="s">
        <v>3</v>
      </c>
      <c r="E891" s="1">
        <v>45413</v>
      </c>
      <c r="F891" t="s">
        <v>5</v>
      </c>
      <c r="G891">
        <v>3592</v>
      </c>
      <c r="H891">
        <v>5288</v>
      </c>
      <c r="I891">
        <v>2.31</v>
      </c>
      <c r="J891">
        <v>57</v>
      </c>
      <c r="K891">
        <f t="shared" ca="1" si="926"/>
        <v>554</v>
      </c>
      <c r="M891">
        <f t="shared" ca="1" si="927"/>
        <v>554</v>
      </c>
      <c r="N891" t="str">
        <f t="shared" si="928"/>
        <v>Good</v>
      </c>
      <c r="O891" t="e">
        <f t="shared" si="929"/>
        <v>#N/A</v>
      </c>
      <c r="P891" t="str">
        <f t="shared" si="930"/>
        <v>YES</v>
      </c>
      <c r="Q891">
        <f t="shared" si="879"/>
        <v>221000</v>
      </c>
      <c r="R891" t="str">
        <f t="shared" si="931"/>
        <v>2022-2023</v>
      </c>
    </row>
    <row r="892" spans="1:18" x14ac:dyDescent="0.25">
      <c r="A892" t="s">
        <v>2134</v>
      </c>
      <c r="B892" t="s">
        <v>2135</v>
      </c>
      <c r="C892" t="s">
        <v>32</v>
      </c>
      <c r="D892" t="s">
        <v>65</v>
      </c>
      <c r="E892" t="s">
        <v>2136</v>
      </c>
      <c r="F892" t="s">
        <v>5</v>
      </c>
      <c r="G892">
        <v>6150</v>
      </c>
      <c r="H892">
        <v>7731</v>
      </c>
      <c r="I892">
        <v>2.79</v>
      </c>
      <c r="J892">
        <v>15</v>
      </c>
      <c r="K892">
        <f t="shared" ca="1" si="926"/>
        <v>645</v>
      </c>
      <c r="M892">
        <f t="shared" ca="1" si="927"/>
        <v>645</v>
      </c>
      <c r="N892" t="str">
        <f t="shared" si="928"/>
        <v>Average</v>
      </c>
      <c r="O892" t="e">
        <f t="shared" si="929"/>
        <v>#N/A</v>
      </c>
      <c r="P892" t="str">
        <f t="shared" si="930"/>
        <v>YES</v>
      </c>
      <c r="Q892">
        <f t="shared" si="879"/>
        <v>221000</v>
      </c>
      <c r="R892" t="str">
        <f t="shared" si="931"/>
        <v>2022-2023</v>
      </c>
    </row>
    <row r="893" spans="1:18" hidden="1" x14ac:dyDescent="0.25">
      <c r="A893" t="s">
        <v>2137</v>
      </c>
      <c r="B893" t="s">
        <v>2138</v>
      </c>
      <c r="C893" t="s">
        <v>17</v>
      </c>
      <c r="D893" t="s">
        <v>25</v>
      </c>
      <c r="E893" t="s">
        <v>2139</v>
      </c>
      <c r="F893" t="s">
        <v>36</v>
      </c>
      <c r="G893">
        <v>6690</v>
      </c>
      <c r="H893">
        <v>9543</v>
      </c>
      <c r="I893">
        <v>3.4</v>
      </c>
      <c r="J893">
        <v>56</v>
      </c>
      <c r="Q893">
        <f t="shared" si="879"/>
        <v>221000</v>
      </c>
    </row>
    <row r="894" spans="1:18" hidden="1" x14ac:dyDescent="0.25">
      <c r="A894" t="s">
        <v>2140</v>
      </c>
      <c r="B894" t="s">
        <v>2141</v>
      </c>
      <c r="C894" t="s">
        <v>32</v>
      </c>
      <c r="D894" t="s">
        <v>25</v>
      </c>
      <c r="E894" t="s">
        <v>926</v>
      </c>
      <c r="F894" t="s">
        <v>11</v>
      </c>
      <c r="G894">
        <v>11719</v>
      </c>
      <c r="H894">
        <v>2949</v>
      </c>
      <c r="I894">
        <v>2.93</v>
      </c>
      <c r="J894">
        <v>107</v>
      </c>
      <c r="Q894">
        <f t="shared" si="879"/>
        <v>221000</v>
      </c>
    </row>
    <row r="895" spans="1:18" x14ac:dyDescent="0.25">
      <c r="A895" t="s">
        <v>2142</v>
      </c>
      <c r="B895" t="s">
        <v>2143</v>
      </c>
      <c r="C895" t="s">
        <v>8</v>
      </c>
      <c r="D895" t="s">
        <v>9</v>
      </c>
      <c r="E895" s="1">
        <v>45388</v>
      </c>
      <c r="F895" t="s">
        <v>5</v>
      </c>
      <c r="G895">
        <v>2659</v>
      </c>
      <c r="H895">
        <v>2093</v>
      </c>
      <c r="I895">
        <v>3.8</v>
      </c>
      <c r="J895">
        <v>101</v>
      </c>
      <c r="K895">
        <f t="shared" ref="K895:K899" ca="1" si="932">IF(F895="Enrolled", TODAY()-E895, "")</f>
        <v>579</v>
      </c>
      <c r="M895">
        <f t="shared" ref="M895:M899" ca="1" si="933">IF(F895="Enrolled",TODAY() - E895,"")</f>
        <v>579</v>
      </c>
      <c r="N895" t="str">
        <f t="shared" ref="N895:N899" si="934">IF(I897&gt;=3.5,"Excellent",IF(I897&gt;=3,"Good",IF(I897&gt;=2,"Average","Poor")))</f>
        <v>Excellent</v>
      </c>
      <c r="O895" t="e">
        <f t="shared" ref="O895:O899" si="935">VLOOKUP(D895, $T$18:$U$23, 2, FALSE)</f>
        <v>#N/A</v>
      </c>
      <c r="P895" t="str">
        <f t="shared" ref="P895:P899" si="936">IF(H895 &gt; 0.5 * G895, "YES", "NO")</f>
        <v>YES</v>
      </c>
      <c r="Q895">
        <f t="shared" si="879"/>
        <v>221000</v>
      </c>
      <c r="R895" t="str">
        <f t="shared" ref="R895:R899" si="937">IF(MONTH(E889)&gt;=6, YEAR(E889) &amp; "-" &amp; YEAR(E889)+1, YEAR(E889)-1 &amp; "-" &amp; YEAR(E889))</f>
        <v>2022-2023</v>
      </c>
    </row>
    <row r="896" spans="1:18" x14ac:dyDescent="0.25">
      <c r="A896" t="s">
        <v>2144</v>
      </c>
      <c r="B896" t="s">
        <v>2145</v>
      </c>
      <c r="C896" t="s">
        <v>2</v>
      </c>
      <c r="D896" t="s">
        <v>65</v>
      </c>
      <c r="E896" t="s">
        <v>680</v>
      </c>
      <c r="F896" t="s">
        <v>5</v>
      </c>
      <c r="G896">
        <v>9484</v>
      </c>
      <c r="H896">
        <v>2759</v>
      </c>
      <c r="I896">
        <v>2.25</v>
      </c>
      <c r="J896">
        <v>114</v>
      </c>
      <c r="K896">
        <f t="shared" ca="1" si="932"/>
        <v>1045</v>
      </c>
      <c r="M896">
        <f t="shared" ca="1" si="933"/>
        <v>1045</v>
      </c>
      <c r="N896" t="str">
        <f t="shared" si="934"/>
        <v>Average</v>
      </c>
      <c r="O896" t="e">
        <f t="shared" si="935"/>
        <v>#N/A</v>
      </c>
      <c r="P896" t="str">
        <f t="shared" si="936"/>
        <v>NO</v>
      </c>
      <c r="Q896">
        <f t="shared" si="879"/>
        <v>221000</v>
      </c>
      <c r="R896" t="str">
        <f t="shared" si="937"/>
        <v>2023-2024</v>
      </c>
    </row>
    <row r="897" spans="1:18" x14ac:dyDescent="0.25">
      <c r="A897" t="s">
        <v>2146</v>
      </c>
      <c r="B897" t="s">
        <v>2147</v>
      </c>
      <c r="C897" t="s">
        <v>58</v>
      </c>
      <c r="D897" t="s">
        <v>9</v>
      </c>
      <c r="E897" t="s">
        <v>2148</v>
      </c>
      <c r="F897" t="s">
        <v>5</v>
      </c>
      <c r="G897">
        <v>2133</v>
      </c>
      <c r="H897">
        <v>244</v>
      </c>
      <c r="I897">
        <v>3.72</v>
      </c>
      <c r="J897">
        <v>17</v>
      </c>
      <c r="K897">
        <f t="shared" ca="1" si="932"/>
        <v>1075</v>
      </c>
      <c r="M897">
        <f t="shared" ca="1" si="933"/>
        <v>1075</v>
      </c>
      <c r="N897" t="str">
        <f t="shared" si="934"/>
        <v>Excellent</v>
      </c>
      <c r="O897" t="e">
        <f t="shared" si="935"/>
        <v>#N/A</v>
      </c>
      <c r="P897" t="str">
        <f t="shared" si="936"/>
        <v>NO</v>
      </c>
      <c r="Q897">
        <f t="shared" si="879"/>
        <v>221000</v>
      </c>
      <c r="R897" t="str">
        <f t="shared" si="937"/>
        <v>2023-2024</v>
      </c>
    </row>
    <row r="898" spans="1:18" x14ac:dyDescent="0.25">
      <c r="A898" t="s">
        <v>2149</v>
      </c>
      <c r="B898" t="s">
        <v>2150</v>
      </c>
      <c r="C898" t="s">
        <v>2</v>
      </c>
      <c r="D898" t="s">
        <v>3</v>
      </c>
      <c r="E898" t="s">
        <v>1475</v>
      </c>
      <c r="F898" t="s">
        <v>5</v>
      </c>
      <c r="G898">
        <v>6910</v>
      </c>
      <c r="H898">
        <v>6618</v>
      </c>
      <c r="I898">
        <v>2.23</v>
      </c>
      <c r="J898">
        <v>19</v>
      </c>
      <c r="K898">
        <f t="shared" ca="1" si="932"/>
        <v>1233</v>
      </c>
      <c r="M898">
        <f t="shared" ca="1" si="933"/>
        <v>1233</v>
      </c>
      <c r="N898" t="str">
        <f t="shared" si="934"/>
        <v>Excellent</v>
      </c>
      <c r="O898" t="e">
        <f t="shared" si="935"/>
        <v>#N/A</v>
      </c>
      <c r="P898" t="str">
        <f t="shared" si="936"/>
        <v>YES</v>
      </c>
      <c r="Q898">
        <f t="shared" si="879"/>
        <v>221000</v>
      </c>
      <c r="R898" t="str">
        <f t="shared" si="937"/>
        <v>2023-2024</v>
      </c>
    </row>
    <row r="899" spans="1:18" x14ac:dyDescent="0.25">
      <c r="A899" t="s">
        <v>2151</v>
      </c>
      <c r="B899" t="s">
        <v>2152</v>
      </c>
      <c r="C899" t="s">
        <v>17</v>
      </c>
      <c r="D899" t="s">
        <v>9</v>
      </c>
      <c r="E899" t="s">
        <v>2153</v>
      </c>
      <c r="F899" t="s">
        <v>5</v>
      </c>
      <c r="G899">
        <v>13914</v>
      </c>
      <c r="H899">
        <v>7642</v>
      </c>
      <c r="I899">
        <v>3.94</v>
      </c>
      <c r="J899">
        <v>57</v>
      </c>
      <c r="K899">
        <f t="shared" ca="1" si="932"/>
        <v>1199</v>
      </c>
      <c r="M899">
        <f t="shared" ca="1" si="933"/>
        <v>1199</v>
      </c>
      <c r="N899" t="str">
        <f t="shared" si="934"/>
        <v>Average</v>
      </c>
      <c r="O899" t="e">
        <f t="shared" si="935"/>
        <v>#N/A</v>
      </c>
      <c r="P899" t="str">
        <f t="shared" si="936"/>
        <v>YES</v>
      </c>
      <c r="Q899">
        <f t="shared" si="879"/>
        <v>221000</v>
      </c>
      <c r="R899" t="str">
        <f t="shared" si="937"/>
        <v>2021-2022</v>
      </c>
    </row>
    <row r="900" spans="1:18" hidden="1" x14ac:dyDescent="0.25">
      <c r="A900" t="s">
        <v>2154</v>
      </c>
      <c r="B900" t="s">
        <v>2155</v>
      </c>
      <c r="C900" t="s">
        <v>17</v>
      </c>
      <c r="D900" t="s">
        <v>3</v>
      </c>
      <c r="E900" t="s">
        <v>646</v>
      </c>
      <c r="F900" t="s">
        <v>11</v>
      </c>
      <c r="G900">
        <v>11039</v>
      </c>
      <c r="H900">
        <v>9104</v>
      </c>
      <c r="I900">
        <v>3.98</v>
      </c>
      <c r="J900">
        <v>52</v>
      </c>
      <c r="Q900">
        <f t="shared" si="879"/>
        <v>221000</v>
      </c>
    </row>
    <row r="901" spans="1:18" x14ac:dyDescent="0.25">
      <c r="A901" t="s">
        <v>2156</v>
      </c>
      <c r="B901" t="s">
        <v>2157</v>
      </c>
      <c r="C901" t="s">
        <v>17</v>
      </c>
      <c r="D901" t="s">
        <v>3</v>
      </c>
      <c r="E901" t="s">
        <v>347</v>
      </c>
      <c r="F901" t="s">
        <v>5</v>
      </c>
      <c r="G901">
        <v>8134</v>
      </c>
      <c r="H901">
        <v>3190</v>
      </c>
      <c r="I901">
        <v>2.73</v>
      </c>
      <c r="J901">
        <v>68</v>
      </c>
      <c r="K901">
        <f t="shared" ref="K901" ca="1" si="938">IF(F901="Enrolled", TODAY()-E901, "")</f>
        <v>1194</v>
      </c>
      <c r="M901">
        <f ca="1">IF(F901="Enrolled",TODAY() - E901,"")</f>
        <v>1194</v>
      </c>
      <c r="N901" t="str">
        <f>IF(I903&gt;=3.5,"Excellent",IF(I903&gt;=3,"Good",IF(I903&gt;=2,"Average","Poor")))</f>
        <v>Good</v>
      </c>
      <c r="O901" t="e">
        <f>VLOOKUP(D901, $T$18:$U$23, 2, FALSE)</f>
        <v>#N/A</v>
      </c>
      <c r="P901" t="str">
        <f>IF(H901 &gt; 0.5 * G901, "YES", "NO")</f>
        <v>NO</v>
      </c>
      <c r="Q901">
        <f t="shared" si="879"/>
        <v>221000</v>
      </c>
      <c r="R901" t="str">
        <f t="shared" ref="R901" si="939">IF(MONTH(E895)&gt;=6, YEAR(E895) &amp; "-" &amp; YEAR(E895)+1, YEAR(E895)-1 &amp; "-" &amp; YEAR(E895))</f>
        <v>2023-2024</v>
      </c>
    </row>
    <row r="902" spans="1:18" hidden="1" x14ac:dyDescent="0.25">
      <c r="A902" t="s">
        <v>2158</v>
      </c>
      <c r="B902" t="s">
        <v>2159</v>
      </c>
      <c r="C902" t="s">
        <v>55</v>
      </c>
      <c r="D902" t="s">
        <v>25</v>
      </c>
      <c r="E902" s="1">
        <v>45086</v>
      </c>
      <c r="F902" t="s">
        <v>11</v>
      </c>
      <c r="G902">
        <v>5424</v>
      </c>
      <c r="H902">
        <v>5871</v>
      </c>
      <c r="I902">
        <v>3.18</v>
      </c>
      <c r="J902">
        <v>32</v>
      </c>
      <c r="Q902">
        <f t="shared" si="879"/>
        <v>221000</v>
      </c>
    </row>
    <row r="903" spans="1:18" x14ac:dyDescent="0.25">
      <c r="A903" t="s">
        <v>2160</v>
      </c>
      <c r="B903" t="s">
        <v>2161</v>
      </c>
      <c r="C903" t="s">
        <v>14</v>
      </c>
      <c r="D903" t="s">
        <v>65</v>
      </c>
      <c r="E903" t="s">
        <v>2162</v>
      </c>
      <c r="F903" t="s">
        <v>5</v>
      </c>
      <c r="G903">
        <v>14379</v>
      </c>
      <c r="H903">
        <v>7146</v>
      </c>
      <c r="I903">
        <v>3.15</v>
      </c>
      <c r="J903">
        <v>80</v>
      </c>
      <c r="K903">
        <f t="shared" ref="K903:K904" ca="1" si="940">IF(F903="Enrolled", TODAY()-E903, "")</f>
        <v>1019</v>
      </c>
      <c r="M903">
        <f t="shared" ref="M903:M904" ca="1" si="941">IF(F903="Enrolled",TODAY() - E903,"")</f>
        <v>1019</v>
      </c>
      <c r="N903" t="str">
        <f t="shared" ref="N903:N904" si="942">IF(I905&gt;=3.5,"Excellent",IF(I905&gt;=3,"Good",IF(I905&gt;=2,"Average","Poor")))</f>
        <v>Good</v>
      </c>
      <c r="O903" t="e">
        <f t="shared" ref="O903:O904" si="943">VLOOKUP(D903, $T$18:$U$23, 2, FALSE)</f>
        <v>#N/A</v>
      </c>
      <c r="P903" t="str">
        <f t="shared" ref="P903:P904" si="944">IF(H903 &gt; 0.5 * G903, "YES", "NO")</f>
        <v>NO</v>
      </c>
      <c r="Q903">
        <f t="shared" si="879"/>
        <v>221000</v>
      </c>
      <c r="R903" t="str">
        <f t="shared" ref="R903:R904" si="945">IF(MONTH(E897)&gt;=6, YEAR(E897) &amp; "-" &amp; YEAR(E897)+1, YEAR(E897)-1 &amp; "-" &amp; YEAR(E897))</f>
        <v>2022-2023</v>
      </c>
    </row>
    <row r="904" spans="1:18" x14ac:dyDescent="0.25">
      <c r="A904" t="s">
        <v>2163</v>
      </c>
      <c r="B904" t="s">
        <v>2164</v>
      </c>
      <c r="C904" t="s">
        <v>58</v>
      </c>
      <c r="D904" t="s">
        <v>9</v>
      </c>
      <c r="E904" s="1">
        <v>45145</v>
      </c>
      <c r="F904" t="s">
        <v>5</v>
      </c>
      <c r="G904">
        <v>5400</v>
      </c>
      <c r="H904">
        <v>6864</v>
      </c>
      <c r="I904">
        <v>3.76</v>
      </c>
      <c r="J904">
        <v>88</v>
      </c>
      <c r="K904">
        <f t="shared" ca="1" si="940"/>
        <v>822</v>
      </c>
      <c r="M904">
        <f t="shared" ca="1" si="941"/>
        <v>822</v>
      </c>
      <c r="N904" t="str">
        <f t="shared" si="942"/>
        <v>Average</v>
      </c>
      <c r="O904" t="e">
        <f t="shared" si="943"/>
        <v>#N/A</v>
      </c>
      <c r="P904" t="str">
        <f t="shared" si="944"/>
        <v>YES</v>
      </c>
      <c r="Q904">
        <f t="shared" si="879"/>
        <v>221000</v>
      </c>
      <c r="R904" t="str">
        <f t="shared" si="945"/>
        <v>2022-2023</v>
      </c>
    </row>
    <row r="905" spans="1:18" hidden="1" x14ac:dyDescent="0.25">
      <c r="A905" t="s">
        <v>2165</v>
      </c>
      <c r="B905" t="s">
        <v>2166</v>
      </c>
      <c r="C905" t="s">
        <v>17</v>
      </c>
      <c r="D905" t="s">
        <v>65</v>
      </c>
      <c r="E905" t="s">
        <v>2167</v>
      </c>
      <c r="F905" t="s">
        <v>11</v>
      </c>
      <c r="G905">
        <v>9862</v>
      </c>
      <c r="H905">
        <v>3356</v>
      </c>
      <c r="I905">
        <v>3.23</v>
      </c>
      <c r="J905">
        <v>103</v>
      </c>
      <c r="Q905">
        <f t="shared" si="879"/>
        <v>221000</v>
      </c>
    </row>
    <row r="906" spans="1:18" x14ac:dyDescent="0.25">
      <c r="A906" t="s">
        <v>2168</v>
      </c>
      <c r="B906" t="s">
        <v>2169</v>
      </c>
      <c r="C906" t="s">
        <v>2</v>
      </c>
      <c r="D906" t="s">
        <v>65</v>
      </c>
      <c r="E906" s="1">
        <v>45446</v>
      </c>
      <c r="F906" t="s">
        <v>5</v>
      </c>
      <c r="G906">
        <v>8496</v>
      </c>
      <c r="H906">
        <v>3990</v>
      </c>
      <c r="I906">
        <v>2.1800000000000002</v>
      </c>
      <c r="J906">
        <v>44</v>
      </c>
      <c r="K906">
        <f t="shared" ref="K906:K910" ca="1" si="946">IF(F906="Enrolled", TODAY()-E906, "")</f>
        <v>521</v>
      </c>
      <c r="M906">
        <f t="shared" ref="M906:M910" ca="1" si="947">IF(F906="Enrolled",TODAY() - E906,"")</f>
        <v>521</v>
      </c>
      <c r="N906" t="str">
        <f t="shared" ref="N906:N910" si="948">IF(I908&gt;=3.5,"Excellent",IF(I908&gt;=3,"Good",IF(I908&gt;=2,"Average","Poor")))</f>
        <v>Average</v>
      </c>
      <c r="O906" t="e">
        <f t="shared" ref="O906:O910" si="949">VLOOKUP(D906, $T$18:$U$23, 2, FALSE)</f>
        <v>#N/A</v>
      </c>
      <c r="P906" t="str">
        <f t="shared" ref="P906:P910" si="950">IF(H906 &gt; 0.5 * G906, "YES", "NO")</f>
        <v>NO</v>
      </c>
      <c r="Q906">
        <f t="shared" si="879"/>
        <v>221000</v>
      </c>
      <c r="R906" t="str">
        <f t="shared" ref="R906:R910" si="951">IF(MONTH(E900)&gt;=6, YEAR(E900) &amp; "-" &amp; YEAR(E900)+1, YEAR(E900)-1 &amp; "-" &amp; YEAR(E900))</f>
        <v>2022-2023</v>
      </c>
    </row>
    <row r="907" spans="1:18" x14ac:dyDescent="0.25">
      <c r="A907" t="s">
        <v>2170</v>
      </c>
      <c r="B907" t="s">
        <v>2171</v>
      </c>
      <c r="C907" t="s">
        <v>58</v>
      </c>
      <c r="D907" t="s">
        <v>65</v>
      </c>
      <c r="E907" t="s">
        <v>180</v>
      </c>
      <c r="F907" t="s">
        <v>5</v>
      </c>
      <c r="G907">
        <v>7820</v>
      </c>
      <c r="H907">
        <v>809</v>
      </c>
      <c r="I907">
        <v>2.75</v>
      </c>
      <c r="J907">
        <v>64</v>
      </c>
      <c r="K907">
        <f t="shared" ca="1" si="946"/>
        <v>1166</v>
      </c>
      <c r="M907">
        <f t="shared" ca="1" si="947"/>
        <v>1166</v>
      </c>
      <c r="N907" t="str">
        <f t="shared" si="948"/>
        <v>Good</v>
      </c>
      <c r="O907" t="e">
        <f t="shared" si="949"/>
        <v>#N/A</v>
      </c>
      <c r="P907" t="str">
        <f t="shared" si="950"/>
        <v>NO</v>
      </c>
      <c r="Q907">
        <f t="shared" si="879"/>
        <v>221000</v>
      </c>
      <c r="R907" t="str">
        <f t="shared" si="951"/>
        <v>2022-2023</v>
      </c>
    </row>
    <row r="908" spans="1:18" x14ac:dyDescent="0.25">
      <c r="A908" t="s">
        <v>2172</v>
      </c>
      <c r="B908" t="s">
        <v>2173</v>
      </c>
      <c r="C908" t="s">
        <v>32</v>
      </c>
      <c r="D908" t="s">
        <v>25</v>
      </c>
      <c r="E908" t="s">
        <v>2174</v>
      </c>
      <c r="F908" t="s">
        <v>5</v>
      </c>
      <c r="G908">
        <v>14630</v>
      </c>
      <c r="H908">
        <v>7086</v>
      </c>
      <c r="I908">
        <v>2.0099999999999998</v>
      </c>
      <c r="J908">
        <v>31</v>
      </c>
      <c r="K908">
        <f t="shared" ca="1" si="946"/>
        <v>565</v>
      </c>
      <c r="M908">
        <f t="shared" ca="1" si="947"/>
        <v>565</v>
      </c>
      <c r="N908" t="str">
        <f t="shared" si="948"/>
        <v>Good</v>
      </c>
      <c r="O908" t="e">
        <f t="shared" si="949"/>
        <v>#N/A</v>
      </c>
      <c r="P908" t="str">
        <f t="shared" si="950"/>
        <v>NO</v>
      </c>
      <c r="Q908">
        <f t="shared" si="879"/>
        <v>221000</v>
      </c>
      <c r="R908" t="str">
        <f t="shared" si="951"/>
        <v>2023-2024</v>
      </c>
    </row>
    <row r="909" spans="1:18" x14ac:dyDescent="0.25">
      <c r="A909" t="s">
        <v>2175</v>
      </c>
      <c r="B909" t="s">
        <v>2176</v>
      </c>
      <c r="C909" t="s">
        <v>14</v>
      </c>
      <c r="D909" t="s">
        <v>9</v>
      </c>
      <c r="E909" t="s">
        <v>1478</v>
      </c>
      <c r="F909" t="s">
        <v>5</v>
      </c>
      <c r="G909">
        <v>7470</v>
      </c>
      <c r="H909">
        <v>6312</v>
      </c>
      <c r="I909">
        <v>3.06</v>
      </c>
      <c r="J909">
        <v>86</v>
      </c>
      <c r="K909">
        <f t="shared" ca="1" si="946"/>
        <v>1119</v>
      </c>
      <c r="M909">
        <f t="shared" ca="1" si="947"/>
        <v>1119</v>
      </c>
      <c r="N909" t="str">
        <f t="shared" si="948"/>
        <v>Average</v>
      </c>
      <c r="O909" t="e">
        <f t="shared" si="949"/>
        <v>#N/A</v>
      </c>
      <c r="P909" t="str">
        <f t="shared" si="950"/>
        <v>YES</v>
      </c>
      <c r="Q909">
        <f t="shared" ref="Q909:Q972" si="952">SUMIFS(G909:G2107, F909:F2107, "Completed", D909:D2107, "Science")</f>
        <v>221000</v>
      </c>
      <c r="R909" t="str">
        <f t="shared" si="951"/>
        <v>2022-2023</v>
      </c>
    </row>
    <row r="910" spans="1:18" x14ac:dyDescent="0.25">
      <c r="A910" t="s">
        <v>2177</v>
      </c>
      <c r="B910" t="s">
        <v>2178</v>
      </c>
      <c r="C910" t="s">
        <v>8</v>
      </c>
      <c r="D910" t="s">
        <v>9</v>
      </c>
      <c r="E910" s="1">
        <v>44624</v>
      </c>
      <c r="F910" t="s">
        <v>5</v>
      </c>
      <c r="G910">
        <v>6296</v>
      </c>
      <c r="H910">
        <v>958</v>
      </c>
      <c r="I910">
        <v>3.45</v>
      </c>
      <c r="J910">
        <v>62</v>
      </c>
      <c r="K910">
        <f t="shared" ca="1" si="946"/>
        <v>1343</v>
      </c>
      <c r="M910">
        <f t="shared" ca="1" si="947"/>
        <v>1343</v>
      </c>
      <c r="N910" t="str">
        <f t="shared" si="948"/>
        <v>Good</v>
      </c>
      <c r="O910" t="e">
        <f t="shared" si="949"/>
        <v>#N/A</v>
      </c>
      <c r="P910" t="str">
        <f t="shared" si="950"/>
        <v>NO</v>
      </c>
      <c r="Q910">
        <f t="shared" si="952"/>
        <v>221000</v>
      </c>
      <c r="R910" t="str">
        <f t="shared" si="951"/>
        <v>2023-2024</v>
      </c>
    </row>
    <row r="911" spans="1:18" hidden="1" x14ac:dyDescent="0.25">
      <c r="A911" t="s">
        <v>2179</v>
      </c>
      <c r="B911" t="s">
        <v>2180</v>
      </c>
      <c r="C911" t="s">
        <v>58</v>
      </c>
      <c r="D911" t="s">
        <v>65</v>
      </c>
      <c r="E911" t="s">
        <v>1983</v>
      </c>
      <c r="F911" t="s">
        <v>11</v>
      </c>
      <c r="G911">
        <v>2346</v>
      </c>
      <c r="H911">
        <v>5333</v>
      </c>
      <c r="I911">
        <v>2.74</v>
      </c>
      <c r="J911">
        <v>105</v>
      </c>
      <c r="Q911">
        <f t="shared" si="952"/>
        <v>221000</v>
      </c>
    </row>
    <row r="912" spans="1:18" x14ac:dyDescent="0.25">
      <c r="A912" t="s">
        <v>2181</v>
      </c>
      <c r="B912" t="s">
        <v>2182</v>
      </c>
      <c r="C912" t="s">
        <v>8</v>
      </c>
      <c r="D912" t="s">
        <v>3</v>
      </c>
      <c r="E912" t="s">
        <v>617</v>
      </c>
      <c r="F912" t="s">
        <v>5</v>
      </c>
      <c r="G912">
        <v>5749</v>
      </c>
      <c r="H912">
        <v>6273</v>
      </c>
      <c r="I912">
        <v>3.05</v>
      </c>
      <c r="J912">
        <v>26</v>
      </c>
      <c r="K912">
        <f t="shared" ref="K912:K913" ca="1" si="953">IF(F912="Enrolled", TODAY()-E912, "")</f>
        <v>590</v>
      </c>
      <c r="M912">
        <f t="shared" ref="M912:M913" ca="1" si="954">IF(F912="Enrolled",TODAY() - E912,"")</f>
        <v>590</v>
      </c>
      <c r="N912" t="str">
        <f t="shared" ref="N912:N913" si="955">IF(I914&gt;=3.5,"Excellent",IF(I914&gt;=3,"Good",IF(I914&gt;=2,"Average","Poor")))</f>
        <v>Average</v>
      </c>
      <c r="O912" t="e">
        <f t="shared" ref="O912:O913" si="956">VLOOKUP(D912, $T$18:$U$23, 2, FALSE)</f>
        <v>#N/A</v>
      </c>
      <c r="P912" t="str">
        <f t="shared" ref="P912:P913" si="957">IF(H912 &gt; 0.5 * G912, "YES", "NO")</f>
        <v>YES</v>
      </c>
      <c r="Q912">
        <f t="shared" si="952"/>
        <v>221000</v>
      </c>
      <c r="R912" t="str">
        <f t="shared" ref="R912:R913" si="958">IF(MONTH(E906)&gt;=6, YEAR(E906) &amp; "-" &amp; YEAR(E906)+1, YEAR(E906)-1 &amp; "-" &amp; YEAR(E906))</f>
        <v>2024-2025</v>
      </c>
    </row>
    <row r="913" spans="1:18" x14ac:dyDescent="0.25">
      <c r="A913" t="s">
        <v>2183</v>
      </c>
      <c r="B913" t="s">
        <v>2184</v>
      </c>
      <c r="C913" t="s">
        <v>21</v>
      </c>
      <c r="D913" t="s">
        <v>3</v>
      </c>
      <c r="E913" t="s">
        <v>2185</v>
      </c>
      <c r="F913" t="s">
        <v>5</v>
      </c>
      <c r="G913">
        <v>10732</v>
      </c>
      <c r="H913">
        <v>29</v>
      </c>
      <c r="I913">
        <v>3.03</v>
      </c>
      <c r="J913">
        <v>44</v>
      </c>
      <c r="K913">
        <f t="shared" ca="1" si="953"/>
        <v>510</v>
      </c>
      <c r="M913">
        <f t="shared" ca="1" si="954"/>
        <v>510</v>
      </c>
      <c r="N913" t="str">
        <f t="shared" si="955"/>
        <v>Good</v>
      </c>
      <c r="O913" t="e">
        <f t="shared" si="956"/>
        <v>#N/A</v>
      </c>
      <c r="P913" t="str">
        <f t="shared" si="957"/>
        <v>NO</v>
      </c>
      <c r="Q913">
        <f t="shared" si="952"/>
        <v>221000</v>
      </c>
      <c r="R913" t="str">
        <f t="shared" si="958"/>
        <v>2022-2023</v>
      </c>
    </row>
    <row r="914" spans="1:18" hidden="1" x14ac:dyDescent="0.25">
      <c r="A914" t="s">
        <v>2186</v>
      </c>
      <c r="B914" t="s">
        <v>2187</v>
      </c>
      <c r="C914" t="s">
        <v>32</v>
      </c>
      <c r="D914" t="s">
        <v>3</v>
      </c>
      <c r="E914" s="1">
        <v>44872</v>
      </c>
      <c r="F914" t="s">
        <v>36</v>
      </c>
      <c r="G914">
        <v>5938</v>
      </c>
      <c r="H914">
        <v>8341</v>
      </c>
      <c r="I914">
        <v>2.99</v>
      </c>
      <c r="J914">
        <v>101</v>
      </c>
      <c r="Q914">
        <f t="shared" si="952"/>
        <v>221000</v>
      </c>
    </row>
    <row r="915" spans="1:18" x14ac:dyDescent="0.25">
      <c r="A915" t="s">
        <v>2188</v>
      </c>
      <c r="B915" t="s">
        <v>2189</v>
      </c>
      <c r="C915" t="s">
        <v>21</v>
      </c>
      <c r="D915" t="s">
        <v>25</v>
      </c>
      <c r="E915" s="1">
        <v>45597</v>
      </c>
      <c r="F915" t="s">
        <v>5</v>
      </c>
      <c r="G915">
        <v>3278</v>
      </c>
      <c r="H915">
        <v>1851</v>
      </c>
      <c r="I915">
        <v>3.37</v>
      </c>
      <c r="J915">
        <v>85</v>
      </c>
      <c r="K915">
        <f t="shared" ref="K915:K916" ca="1" si="959">IF(F915="Enrolled", TODAY()-E915, "")</f>
        <v>370</v>
      </c>
      <c r="M915">
        <f t="shared" ref="M915:M916" ca="1" si="960">IF(F915="Enrolled",TODAY() - E915,"")</f>
        <v>370</v>
      </c>
      <c r="N915" t="str">
        <f t="shared" ref="N915:N916" si="961">IF(I917&gt;=3.5,"Excellent",IF(I917&gt;=3,"Good",IF(I917&gt;=2,"Average","Poor")))</f>
        <v>Excellent</v>
      </c>
      <c r="O915" t="e">
        <f t="shared" ref="O915:O916" si="962">VLOOKUP(D915, $T$18:$U$23, 2, FALSE)</f>
        <v>#N/A</v>
      </c>
      <c r="P915" t="str">
        <f t="shared" ref="P915:P916" si="963">IF(H915 &gt; 0.5 * G915, "YES", "NO")</f>
        <v>YES</v>
      </c>
      <c r="Q915">
        <f t="shared" si="952"/>
        <v>221000</v>
      </c>
      <c r="R915" t="str">
        <f t="shared" ref="R915:R916" si="964">IF(MONTH(E909)&gt;=6, YEAR(E909) &amp; "-" &amp; YEAR(E909)+1, YEAR(E909)-1 &amp; "-" &amp; YEAR(E909))</f>
        <v>2022-2023</v>
      </c>
    </row>
    <row r="916" spans="1:18" x14ac:dyDescent="0.25">
      <c r="A916" t="s">
        <v>2190</v>
      </c>
      <c r="B916" t="s">
        <v>2191</v>
      </c>
      <c r="C916" t="s">
        <v>58</v>
      </c>
      <c r="D916" t="s">
        <v>3</v>
      </c>
      <c r="E916" s="1">
        <v>45083</v>
      </c>
      <c r="F916" t="s">
        <v>5</v>
      </c>
      <c r="G916">
        <v>14845</v>
      </c>
      <c r="H916">
        <v>823</v>
      </c>
      <c r="I916">
        <v>3.11</v>
      </c>
      <c r="J916">
        <v>27</v>
      </c>
      <c r="K916">
        <f t="shared" ca="1" si="959"/>
        <v>884</v>
      </c>
      <c r="M916">
        <f t="shared" ca="1" si="960"/>
        <v>884</v>
      </c>
      <c r="N916" t="str">
        <f t="shared" si="961"/>
        <v>Average</v>
      </c>
      <c r="O916" t="e">
        <f t="shared" si="962"/>
        <v>#N/A</v>
      </c>
      <c r="P916" t="str">
        <f t="shared" si="963"/>
        <v>NO</v>
      </c>
      <c r="Q916">
        <f t="shared" si="952"/>
        <v>221000</v>
      </c>
      <c r="R916" t="str">
        <f t="shared" si="964"/>
        <v>2021-2022</v>
      </c>
    </row>
    <row r="917" spans="1:18" hidden="1" x14ac:dyDescent="0.25">
      <c r="A917" t="s">
        <v>2192</v>
      </c>
      <c r="B917" t="s">
        <v>2193</v>
      </c>
      <c r="C917" t="s">
        <v>55</v>
      </c>
      <c r="D917" t="s">
        <v>25</v>
      </c>
      <c r="E917" t="s">
        <v>2194</v>
      </c>
      <c r="F917" t="s">
        <v>11</v>
      </c>
      <c r="G917">
        <v>11658</v>
      </c>
      <c r="H917">
        <v>2778</v>
      </c>
      <c r="I917">
        <v>3.52</v>
      </c>
      <c r="J917">
        <v>95</v>
      </c>
      <c r="Q917">
        <f t="shared" si="952"/>
        <v>221000</v>
      </c>
    </row>
    <row r="918" spans="1:18" hidden="1" x14ac:dyDescent="0.25">
      <c r="A918" t="s">
        <v>2195</v>
      </c>
      <c r="B918" t="s">
        <v>2196</v>
      </c>
      <c r="C918" t="s">
        <v>2</v>
      </c>
      <c r="D918" t="s">
        <v>9</v>
      </c>
      <c r="E918" t="s">
        <v>2197</v>
      </c>
      <c r="F918" t="s">
        <v>11</v>
      </c>
      <c r="G918">
        <v>11979</v>
      </c>
      <c r="H918">
        <v>4170</v>
      </c>
      <c r="I918">
        <v>2.75</v>
      </c>
      <c r="J918">
        <v>22</v>
      </c>
      <c r="Q918">
        <f t="shared" si="952"/>
        <v>221000</v>
      </c>
    </row>
    <row r="919" spans="1:18" x14ac:dyDescent="0.25">
      <c r="A919" t="s">
        <v>2198</v>
      </c>
      <c r="B919" t="s">
        <v>2199</v>
      </c>
      <c r="C919" t="s">
        <v>14</v>
      </c>
      <c r="D919" t="s">
        <v>25</v>
      </c>
      <c r="E919" t="s">
        <v>559</v>
      </c>
      <c r="F919" t="s">
        <v>5</v>
      </c>
      <c r="G919">
        <v>5650</v>
      </c>
      <c r="H919">
        <v>9181</v>
      </c>
      <c r="I919">
        <v>3.13</v>
      </c>
      <c r="J919">
        <v>18</v>
      </c>
      <c r="K919">
        <f t="shared" ref="K919" ca="1" si="965">IF(F919="Enrolled", TODAY()-E919, "")</f>
        <v>1165</v>
      </c>
      <c r="M919">
        <f ca="1">IF(F919="Enrolled",TODAY() - E919,"")</f>
        <v>1165</v>
      </c>
      <c r="N919" t="str">
        <f>IF(I921&gt;=3.5,"Excellent",IF(I921&gt;=3,"Good",IF(I921&gt;=2,"Average","Poor")))</f>
        <v>Excellent</v>
      </c>
      <c r="O919" t="e">
        <f>VLOOKUP(D919, $T$18:$U$23, 2, FALSE)</f>
        <v>#N/A</v>
      </c>
      <c r="P919" t="str">
        <f>IF(H919 &gt; 0.5 * G919, "YES", "NO")</f>
        <v>YES</v>
      </c>
      <c r="Q919">
        <f t="shared" si="952"/>
        <v>209021</v>
      </c>
      <c r="R919" t="str">
        <f t="shared" ref="R919" si="966">IF(MONTH(E913)&gt;=6, YEAR(E913) &amp; "-" &amp; YEAR(E913)+1, YEAR(E913)-1 &amp; "-" &amp; YEAR(E913))</f>
        <v>2024-2025</v>
      </c>
    </row>
    <row r="920" spans="1:18" hidden="1" x14ac:dyDescent="0.25">
      <c r="A920" t="s">
        <v>2200</v>
      </c>
      <c r="B920" t="s">
        <v>2201</v>
      </c>
      <c r="C920" t="s">
        <v>17</v>
      </c>
      <c r="D920" t="s">
        <v>3</v>
      </c>
      <c r="E920" s="1">
        <v>44961</v>
      </c>
      <c r="F920" t="s">
        <v>36</v>
      </c>
      <c r="G920">
        <v>9224</v>
      </c>
      <c r="H920">
        <v>5014</v>
      </c>
      <c r="I920">
        <v>2.75</v>
      </c>
      <c r="J920">
        <v>79</v>
      </c>
      <c r="Q920">
        <f t="shared" si="952"/>
        <v>209021</v>
      </c>
    </row>
    <row r="921" spans="1:18" hidden="1" x14ac:dyDescent="0.25">
      <c r="A921" t="s">
        <v>2202</v>
      </c>
      <c r="B921" t="s">
        <v>2203</v>
      </c>
      <c r="C921" t="s">
        <v>8</v>
      </c>
      <c r="D921" t="s">
        <v>25</v>
      </c>
      <c r="E921" s="1">
        <v>45145</v>
      </c>
      <c r="F921" t="s">
        <v>11</v>
      </c>
      <c r="G921">
        <v>12893</v>
      </c>
      <c r="H921">
        <v>6823</v>
      </c>
      <c r="I921">
        <v>3.9</v>
      </c>
      <c r="J921">
        <v>62</v>
      </c>
      <c r="Q921">
        <f t="shared" si="952"/>
        <v>209021</v>
      </c>
    </row>
    <row r="922" spans="1:18" x14ac:dyDescent="0.25">
      <c r="A922" t="s">
        <v>2204</v>
      </c>
      <c r="B922" t="s">
        <v>2205</v>
      </c>
      <c r="C922" t="s">
        <v>32</v>
      </c>
      <c r="D922" t="s">
        <v>3</v>
      </c>
      <c r="E922" t="s">
        <v>2206</v>
      </c>
      <c r="F922" t="s">
        <v>5</v>
      </c>
      <c r="G922">
        <v>10635</v>
      </c>
      <c r="H922">
        <v>7334</v>
      </c>
      <c r="I922">
        <v>2.12</v>
      </c>
      <c r="J922">
        <v>87</v>
      </c>
      <c r="K922">
        <f t="shared" ref="K922" ca="1" si="967">IF(F922="Enrolled", TODAY()-E922, "")</f>
        <v>721</v>
      </c>
      <c r="M922">
        <f ca="1">IF(F922="Enrolled",TODAY() - E922,"")</f>
        <v>721</v>
      </c>
      <c r="N922" t="str">
        <f>IF(I924&gt;=3.5,"Excellent",IF(I924&gt;=3,"Good",IF(I924&gt;=2,"Average","Poor")))</f>
        <v>Excellent</v>
      </c>
      <c r="O922" t="e">
        <f>VLOOKUP(D922, $T$18:$U$23, 2, FALSE)</f>
        <v>#N/A</v>
      </c>
      <c r="P922" t="str">
        <f>IF(H922 &gt; 0.5 * G922, "YES", "NO")</f>
        <v>YES</v>
      </c>
      <c r="Q922">
        <f t="shared" si="952"/>
        <v>209021</v>
      </c>
      <c r="R922" t="str">
        <f t="shared" ref="R922" si="968">IF(MONTH(E916)&gt;=6, YEAR(E916) &amp; "-" &amp; YEAR(E916)+1, YEAR(E916)-1 &amp; "-" &amp; YEAR(E916))</f>
        <v>2023-2024</v>
      </c>
    </row>
    <row r="923" spans="1:18" hidden="1" x14ac:dyDescent="0.25">
      <c r="A923" t="s">
        <v>2207</v>
      </c>
      <c r="B923" t="s">
        <v>2208</v>
      </c>
      <c r="C923" t="s">
        <v>2</v>
      </c>
      <c r="D923" t="s">
        <v>65</v>
      </c>
      <c r="E923" s="1">
        <v>44717</v>
      </c>
      <c r="F923" t="s">
        <v>11</v>
      </c>
      <c r="G923">
        <v>5161</v>
      </c>
      <c r="H923">
        <v>3191</v>
      </c>
      <c r="I923">
        <v>3.4</v>
      </c>
      <c r="J923">
        <v>18</v>
      </c>
      <c r="Q923">
        <f t="shared" si="952"/>
        <v>209021</v>
      </c>
    </row>
    <row r="924" spans="1:18" hidden="1" x14ac:dyDescent="0.25">
      <c r="A924" t="s">
        <v>2209</v>
      </c>
      <c r="B924" t="s">
        <v>2210</v>
      </c>
      <c r="C924" t="s">
        <v>14</v>
      </c>
      <c r="D924" t="s">
        <v>65</v>
      </c>
      <c r="E924" t="s">
        <v>1154</v>
      </c>
      <c r="F924" t="s">
        <v>11</v>
      </c>
      <c r="G924">
        <v>2310</v>
      </c>
      <c r="H924">
        <v>7992</v>
      </c>
      <c r="I924">
        <v>3.78</v>
      </c>
      <c r="J924">
        <v>84</v>
      </c>
      <c r="Q924">
        <f t="shared" si="952"/>
        <v>209021</v>
      </c>
    </row>
    <row r="925" spans="1:18" hidden="1" x14ac:dyDescent="0.25">
      <c r="A925" t="s">
        <v>2211</v>
      </c>
      <c r="B925" t="s">
        <v>2212</v>
      </c>
      <c r="C925" t="s">
        <v>32</v>
      </c>
      <c r="D925" t="s">
        <v>9</v>
      </c>
      <c r="E925" s="1">
        <v>44754</v>
      </c>
      <c r="F925" t="s">
        <v>11</v>
      </c>
      <c r="G925">
        <v>14238</v>
      </c>
      <c r="H925">
        <v>3624</v>
      </c>
      <c r="I925">
        <v>2.0499999999999998</v>
      </c>
      <c r="J925">
        <v>111</v>
      </c>
      <c r="Q925">
        <f t="shared" si="952"/>
        <v>209021</v>
      </c>
    </row>
    <row r="926" spans="1:18" x14ac:dyDescent="0.25">
      <c r="A926" t="s">
        <v>2213</v>
      </c>
      <c r="B926" t="s">
        <v>2214</v>
      </c>
      <c r="C926" t="s">
        <v>14</v>
      </c>
      <c r="D926" t="s">
        <v>9</v>
      </c>
      <c r="E926" t="s">
        <v>2215</v>
      </c>
      <c r="F926" t="s">
        <v>5</v>
      </c>
      <c r="G926">
        <v>6256</v>
      </c>
      <c r="H926">
        <v>9774</v>
      </c>
      <c r="I926">
        <v>3.04</v>
      </c>
      <c r="J926">
        <v>92</v>
      </c>
      <c r="K926">
        <f t="shared" ref="K926" ca="1" si="969">IF(F926="Enrolled", TODAY()-E926, "")</f>
        <v>1205</v>
      </c>
      <c r="M926">
        <f ca="1">IF(F926="Enrolled",TODAY() - E926,"")</f>
        <v>1205</v>
      </c>
      <c r="N926" t="str">
        <f>IF(I928&gt;=3.5,"Excellent",IF(I928&gt;=3,"Good",IF(I928&gt;=2,"Average","Poor")))</f>
        <v>Average</v>
      </c>
      <c r="O926" t="e">
        <f>VLOOKUP(D926, $T$18:$U$23, 2, FALSE)</f>
        <v>#N/A</v>
      </c>
      <c r="P926" t="str">
        <f>IF(H926 &gt; 0.5 * G926, "YES", "NO")</f>
        <v>YES</v>
      </c>
      <c r="Q926">
        <f t="shared" si="952"/>
        <v>194783</v>
      </c>
      <c r="R926" t="str">
        <f t="shared" ref="R926" si="970">IF(MONTH(E920)&gt;=6, YEAR(E920) &amp; "-" &amp; YEAR(E920)+1, YEAR(E920)-1 &amp; "-" &amp; YEAR(E920))</f>
        <v>2022-2023</v>
      </c>
    </row>
    <row r="927" spans="1:18" hidden="1" x14ac:dyDescent="0.25">
      <c r="A927" t="s">
        <v>2216</v>
      </c>
      <c r="B927" t="s">
        <v>2217</v>
      </c>
      <c r="C927" t="s">
        <v>32</v>
      </c>
      <c r="D927" t="s">
        <v>9</v>
      </c>
      <c r="E927" s="1">
        <v>44690</v>
      </c>
      <c r="F927" t="s">
        <v>36</v>
      </c>
      <c r="G927">
        <v>12707</v>
      </c>
      <c r="H927">
        <v>6931</v>
      </c>
      <c r="I927">
        <v>3.19</v>
      </c>
      <c r="J927">
        <v>46</v>
      </c>
      <c r="Q927">
        <f t="shared" si="952"/>
        <v>194783</v>
      </c>
    </row>
    <row r="928" spans="1:18" x14ac:dyDescent="0.25">
      <c r="A928" t="s">
        <v>2218</v>
      </c>
      <c r="B928" t="s">
        <v>2219</v>
      </c>
      <c r="C928" t="s">
        <v>21</v>
      </c>
      <c r="D928" t="s">
        <v>9</v>
      </c>
      <c r="E928" t="s">
        <v>2220</v>
      </c>
      <c r="F928" t="s">
        <v>5</v>
      </c>
      <c r="G928">
        <v>14485</v>
      </c>
      <c r="H928">
        <v>2925</v>
      </c>
      <c r="I928">
        <v>2.13</v>
      </c>
      <c r="J928">
        <v>15</v>
      </c>
      <c r="K928">
        <f t="shared" ref="K928:K929" ca="1" si="971">IF(F928="Enrolled", TODAY()-E928, "")</f>
        <v>1259</v>
      </c>
      <c r="M928">
        <f t="shared" ref="M928:M929" ca="1" si="972">IF(F928="Enrolled",TODAY() - E928,"")</f>
        <v>1259</v>
      </c>
      <c r="N928" t="str">
        <f t="shared" ref="N928:N929" si="973">IF(I930&gt;=3.5,"Excellent",IF(I930&gt;=3,"Good",IF(I930&gt;=2,"Average","Poor")))</f>
        <v>Average</v>
      </c>
      <c r="O928" t="e">
        <f t="shared" ref="O928:O929" si="974">VLOOKUP(D928, $T$18:$U$23, 2, FALSE)</f>
        <v>#N/A</v>
      </c>
      <c r="P928" t="str">
        <f t="shared" ref="P928:P929" si="975">IF(H928 &gt; 0.5 * G928, "YES", "NO")</f>
        <v>NO</v>
      </c>
      <c r="Q928">
        <f t="shared" si="952"/>
        <v>194783</v>
      </c>
      <c r="R928" t="str">
        <f t="shared" ref="R928:R929" si="976">IF(MONTH(E922)&gt;=6, YEAR(E922) &amp; "-" &amp; YEAR(E922)+1, YEAR(E922)-1 &amp; "-" &amp; YEAR(E922))</f>
        <v>2023-2024</v>
      </c>
    </row>
    <row r="929" spans="1:18" x14ac:dyDescent="0.25">
      <c r="A929" t="s">
        <v>2221</v>
      </c>
      <c r="B929" t="s">
        <v>2222</v>
      </c>
      <c r="C929" t="s">
        <v>2</v>
      </c>
      <c r="D929" t="s">
        <v>3</v>
      </c>
      <c r="E929" t="s">
        <v>713</v>
      </c>
      <c r="F929" t="s">
        <v>5</v>
      </c>
      <c r="G929">
        <v>6109</v>
      </c>
      <c r="H929">
        <v>1355</v>
      </c>
      <c r="I929">
        <v>3.41</v>
      </c>
      <c r="J929">
        <v>97</v>
      </c>
      <c r="K929">
        <f t="shared" ca="1" si="971"/>
        <v>784</v>
      </c>
      <c r="M929">
        <f t="shared" ca="1" si="972"/>
        <v>784</v>
      </c>
      <c r="N929" t="str">
        <f t="shared" si="973"/>
        <v>Average</v>
      </c>
      <c r="O929" t="e">
        <f t="shared" si="974"/>
        <v>#N/A</v>
      </c>
      <c r="P929" t="str">
        <f t="shared" si="975"/>
        <v>NO</v>
      </c>
      <c r="Q929">
        <f t="shared" si="952"/>
        <v>194783</v>
      </c>
      <c r="R929" t="str">
        <f t="shared" si="976"/>
        <v>2022-2023</v>
      </c>
    </row>
    <row r="930" spans="1:18" hidden="1" x14ac:dyDescent="0.25">
      <c r="A930" t="s">
        <v>2223</v>
      </c>
      <c r="B930" t="s">
        <v>2224</v>
      </c>
      <c r="C930" t="s">
        <v>32</v>
      </c>
      <c r="D930" t="s">
        <v>9</v>
      </c>
      <c r="E930" t="s">
        <v>1523</v>
      </c>
      <c r="F930" t="s">
        <v>36</v>
      </c>
      <c r="G930">
        <v>12380</v>
      </c>
      <c r="H930">
        <v>7327</v>
      </c>
      <c r="I930">
        <v>2.54</v>
      </c>
      <c r="J930">
        <v>72</v>
      </c>
      <c r="Q930">
        <f t="shared" si="952"/>
        <v>194783</v>
      </c>
    </row>
    <row r="931" spans="1:18" hidden="1" x14ac:dyDescent="0.25">
      <c r="A931" t="s">
        <v>2225</v>
      </c>
      <c r="B931" t="s">
        <v>2226</v>
      </c>
      <c r="C931" t="s">
        <v>32</v>
      </c>
      <c r="D931" t="s">
        <v>9</v>
      </c>
      <c r="E931" t="s">
        <v>2227</v>
      </c>
      <c r="F931" t="s">
        <v>11</v>
      </c>
      <c r="G931">
        <v>7050</v>
      </c>
      <c r="H931">
        <v>537</v>
      </c>
      <c r="I931">
        <v>2.84</v>
      </c>
      <c r="J931">
        <v>68</v>
      </c>
      <c r="Q931">
        <f t="shared" si="952"/>
        <v>194783</v>
      </c>
    </row>
    <row r="932" spans="1:18" hidden="1" x14ac:dyDescent="0.25">
      <c r="A932" t="s">
        <v>2228</v>
      </c>
      <c r="B932" t="s">
        <v>2229</v>
      </c>
      <c r="C932" t="s">
        <v>14</v>
      </c>
      <c r="D932" t="s">
        <v>65</v>
      </c>
      <c r="E932" t="s">
        <v>2230</v>
      </c>
      <c r="F932" t="s">
        <v>11</v>
      </c>
      <c r="G932">
        <v>13686</v>
      </c>
      <c r="H932">
        <v>5137</v>
      </c>
      <c r="I932">
        <v>3.59</v>
      </c>
      <c r="J932">
        <v>75</v>
      </c>
      <c r="Q932">
        <f t="shared" si="952"/>
        <v>187733</v>
      </c>
    </row>
    <row r="933" spans="1:18" x14ac:dyDescent="0.25">
      <c r="A933" t="s">
        <v>2231</v>
      </c>
      <c r="B933" t="s">
        <v>2232</v>
      </c>
      <c r="C933" t="s">
        <v>32</v>
      </c>
      <c r="D933" t="s">
        <v>3</v>
      </c>
      <c r="E933" t="s">
        <v>22</v>
      </c>
      <c r="F933" t="s">
        <v>5</v>
      </c>
      <c r="G933">
        <v>3224</v>
      </c>
      <c r="H933">
        <v>6436</v>
      </c>
      <c r="I933">
        <v>3.96</v>
      </c>
      <c r="J933">
        <v>103</v>
      </c>
      <c r="K933">
        <f t="shared" ref="K933:K934" ca="1" si="977">IF(F933="Enrolled", TODAY()-E933, "")</f>
        <v>567</v>
      </c>
      <c r="M933">
        <f t="shared" ref="M933:M934" ca="1" si="978">IF(F933="Enrolled",TODAY() - E933,"")</f>
        <v>567</v>
      </c>
      <c r="N933" t="str">
        <f t="shared" ref="N933:N934" si="979">IF(I935&gt;=3.5,"Excellent",IF(I935&gt;=3,"Good",IF(I935&gt;=2,"Average","Poor")))</f>
        <v>Excellent</v>
      </c>
      <c r="O933" t="e">
        <f t="shared" ref="O933:O934" si="980">VLOOKUP(D933, $T$18:$U$23, 2, FALSE)</f>
        <v>#N/A</v>
      </c>
      <c r="P933" t="str">
        <f t="shared" ref="P933:P934" si="981">IF(H933 &gt; 0.5 * G933, "YES", "NO")</f>
        <v>YES</v>
      </c>
      <c r="Q933">
        <f t="shared" si="952"/>
        <v>187733</v>
      </c>
      <c r="R933" t="str">
        <f t="shared" ref="R933:R934" si="982">IF(MONTH(E927)&gt;=6, YEAR(E927) &amp; "-" &amp; YEAR(E927)+1, YEAR(E927)-1 &amp; "-" &amp; YEAR(E927))</f>
        <v>2021-2022</v>
      </c>
    </row>
    <row r="934" spans="1:18" x14ac:dyDescent="0.25">
      <c r="A934" t="s">
        <v>2233</v>
      </c>
      <c r="B934" t="s">
        <v>2234</v>
      </c>
      <c r="C934" t="s">
        <v>32</v>
      </c>
      <c r="D934" t="s">
        <v>25</v>
      </c>
      <c r="E934" t="s">
        <v>973</v>
      </c>
      <c r="F934" t="s">
        <v>5</v>
      </c>
      <c r="G934">
        <v>8505</v>
      </c>
      <c r="H934">
        <v>8006</v>
      </c>
      <c r="I934">
        <v>2.61</v>
      </c>
      <c r="J934">
        <v>10</v>
      </c>
      <c r="K934">
        <f t="shared" ca="1" si="977"/>
        <v>1241</v>
      </c>
      <c r="M934">
        <f t="shared" ca="1" si="978"/>
        <v>1241</v>
      </c>
      <c r="N934" t="str">
        <f t="shared" si="979"/>
        <v>Average</v>
      </c>
      <c r="O934" t="e">
        <f t="shared" si="980"/>
        <v>#N/A</v>
      </c>
      <c r="P934" t="str">
        <f t="shared" si="981"/>
        <v>YES</v>
      </c>
      <c r="Q934">
        <f t="shared" si="952"/>
        <v>187733</v>
      </c>
      <c r="R934" t="str">
        <f t="shared" si="982"/>
        <v>2021-2022</v>
      </c>
    </row>
    <row r="935" spans="1:18" hidden="1" x14ac:dyDescent="0.25">
      <c r="A935" t="s">
        <v>2235</v>
      </c>
      <c r="B935" t="s">
        <v>2236</v>
      </c>
      <c r="C935" t="s">
        <v>2</v>
      </c>
      <c r="D935" t="s">
        <v>3</v>
      </c>
      <c r="E935" s="1">
        <v>45140</v>
      </c>
      <c r="F935" t="s">
        <v>11</v>
      </c>
      <c r="G935">
        <v>8846</v>
      </c>
      <c r="H935">
        <v>1192</v>
      </c>
      <c r="I935">
        <v>3.59</v>
      </c>
      <c r="J935">
        <v>36</v>
      </c>
      <c r="Q935">
        <f t="shared" si="952"/>
        <v>187733</v>
      </c>
    </row>
    <row r="936" spans="1:18" x14ac:dyDescent="0.25">
      <c r="A936" t="s">
        <v>2237</v>
      </c>
      <c r="B936" t="s">
        <v>2238</v>
      </c>
      <c r="C936" t="s">
        <v>17</v>
      </c>
      <c r="D936" t="s">
        <v>9</v>
      </c>
      <c r="E936" t="s">
        <v>2239</v>
      </c>
      <c r="F936" t="s">
        <v>5</v>
      </c>
      <c r="G936">
        <v>12177</v>
      </c>
      <c r="H936">
        <v>6105</v>
      </c>
      <c r="I936">
        <v>2.98</v>
      </c>
      <c r="J936">
        <v>55</v>
      </c>
      <c r="K936">
        <f t="shared" ref="K936:K937" ca="1" si="983">IF(F936="Enrolled", TODAY()-E936, "")</f>
        <v>864</v>
      </c>
      <c r="M936">
        <f t="shared" ref="M936:M937" ca="1" si="984">IF(F936="Enrolled",TODAY() - E936,"")</f>
        <v>864</v>
      </c>
      <c r="N936" t="str">
        <f t="shared" ref="N936:N937" si="985">IF(I938&gt;=3.5,"Excellent",IF(I938&gt;=3,"Good",IF(I938&gt;=2,"Average","Poor")))</f>
        <v>Excellent</v>
      </c>
      <c r="O936" t="e">
        <f t="shared" ref="O936:O937" si="986">VLOOKUP(D936, $T$18:$U$23, 2, FALSE)</f>
        <v>#N/A</v>
      </c>
      <c r="P936" t="str">
        <f t="shared" ref="P936:P937" si="987">IF(H936 &gt; 0.5 * G936, "YES", "NO")</f>
        <v>YES</v>
      </c>
      <c r="Q936">
        <f t="shared" si="952"/>
        <v>187733</v>
      </c>
      <c r="R936" t="str">
        <f t="shared" ref="R936:R937" si="988">IF(MONTH(E930)&gt;=6, YEAR(E930) &amp; "-" &amp; YEAR(E930)+1, YEAR(E930)-1 &amp; "-" &amp; YEAR(E930))</f>
        <v>2023-2024</v>
      </c>
    </row>
    <row r="937" spans="1:18" x14ac:dyDescent="0.25">
      <c r="A937" t="s">
        <v>2240</v>
      </c>
      <c r="B937" t="s">
        <v>2241</v>
      </c>
      <c r="C937" t="s">
        <v>32</v>
      </c>
      <c r="D937" t="s">
        <v>9</v>
      </c>
      <c r="E937" s="1">
        <v>44843</v>
      </c>
      <c r="F937" t="s">
        <v>5</v>
      </c>
      <c r="G937">
        <v>2016</v>
      </c>
      <c r="H937">
        <v>2170</v>
      </c>
      <c r="I937">
        <v>3.56</v>
      </c>
      <c r="J937">
        <v>41</v>
      </c>
      <c r="K937">
        <f t="shared" ca="1" si="983"/>
        <v>1124</v>
      </c>
      <c r="M937">
        <f t="shared" ca="1" si="984"/>
        <v>1124</v>
      </c>
      <c r="N937" t="str">
        <f t="shared" si="985"/>
        <v>Excellent</v>
      </c>
      <c r="O937" t="e">
        <f t="shared" si="986"/>
        <v>#N/A</v>
      </c>
      <c r="P937" t="str">
        <f t="shared" si="987"/>
        <v>YES</v>
      </c>
      <c r="Q937">
        <f t="shared" si="952"/>
        <v>187733</v>
      </c>
      <c r="R937" t="str">
        <f t="shared" si="988"/>
        <v>2021-2022</v>
      </c>
    </row>
    <row r="938" spans="1:18" hidden="1" x14ac:dyDescent="0.25">
      <c r="A938" t="s">
        <v>2242</v>
      </c>
      <c r="B938" t="s">
        <v>2243</v>
      </c>
      <c r="C938" t="s">
        <v>2</v>
      </c>
      <c r="D938" t="s">
        <v>65</v>
      </c>
      <c r="E938" s="1">
        <v>45203</v>
      </c>
      <c r="F938" t="s">
        <v>11</v>
      </c>
      <c r="G938">
        <v>11375</v>
      </c>
      <c r="H938">
        <v>6971</v>
      </c>
      <c r="I938">
        <v>3.52</v>
      </c>
      <c r="J938">
        <v>72</v>
      </c>
      <c r="Q938">
        <f t="shared" si="952"/>
        <v>187733</v>
      </c>
    </row>
    <row r="939" spans="1:18" x14ac:dyDescent="0.25">
      <c r="A939" t="s">
        <v>2244</v>
      </c>
      <c r="B939" t="s">
        <v>2245</v>
      </c>
      <c r="C939" t="s">
        <v>17</v>
      </c>
      <c r="D939" t="s">
        <v>3</v>
      </c>
      <c r="E939" t="s">
        <v>564</v>
      </c>
      <c r="F939" t="s">
        <v>5</v>
      </c>
      <c r="G939">
        <v>2240</v>
      </c>
      <c r="H939">
        <v>359</v>
      </c>
      <c r="I939">
        <v>3.9</v>
      </c>
      <c r="J939">
        <v>48</v>
      </c>
      <c r="K939">
        <f t="shared" ref="K939" ca="1" si="989">IF(F939="Enrolled", TODAY()-E939, "")</f>
        <v>715</v>
      </c>
      <c r="M939">
        <f ca="1">IF(F939="Enrolled",TODAY() - E939,"")</f>
        <v>715</v>
      </c>
      <c r="N939" t="str">
        <f>IF(I941&gt;=3.5,"Excellent",IF(I941&gt;=3,"Good",IF(I941&gt;=2,"Average","Poor")))</f>
        <v>Excellent</v>
      </c>
      <c r="O939" t="e">
        <f>VLOOKUP(D939, $T$18:$U$23, 2, FALSE)</f>
        <v>#N/A</v>
      </c>
      <c r="P939" t="str">
        <f>IF(H939 &gt; 0.5 * G939, "YES", "NO")</f>
        <v>NO</v>
      </c>
      <c r="Q939">
        <f t="shared" si="952"/>
        <v>187733</v>
      </c>
      <c r="R939" t="str">
        <f t="shared" ref="R939" si="990">IF(MONTH(E933)&gt;=6, YEAR(E933) &amp; "-" &amp; YEAR(E933)+1, YEAR(E933)-1 &amp; "-" &amp; YEAR(E933))</f>
        <v>2023-2024</v>
      </c>
    </row>
    <row r="940" spans="1:18" hidden="1" x14ac:dyDescent="0.25">
      <c r="A940" t="s">
        <v>2246</v>
      </c>
      <c r="B940" t="s">
        <v>2247</v>
      </c>
      <c r="C940" t="s">
        <v>2</v>
      </c>
      <c r="D940" t="s">
        <v>25</v>
      </c>
      <c r="E940" t="s">
        <v>2230</v>
      </c>
      <c r="F940" t="s">
        <v>11</v>
      </c>
      <c r="G940">
        <v>6615</v>
      </c>
      <c r="H940">
        <v>6355</v>
      </c>
      <c r="I940">
        <v>3.2</v>
      </c>
      <c r="J940">
        <v>40</v>
      </c>
      <c r="Q940">
        <f t="shared" si="952"/>
        <v>187733</v>
      </c>
    </row>
    <row r="941" spans="1:18" x14ac:dyDescent="0.25">
      <c r="A941" t="s">
        <v>2248</v>
      </c>
      <c r="B941" t="s">
        <v>2249</v>
      </c>
      <c r="C941" t="s">
        <v>8</v>
      </c>
      <c r="D941" t="s">
        <v>65</v>
      </c>
      <c r="E941" t="s">
        <v>2250</v>
      </c>
      <c r="F941" t="s">
        <v>5</v>
      </c>
      <c r="G941">
        <v>10054</v>
      </c>
      <c r="H941">
        <v>4005</v>
      </c>
      <c r="I941">
        <v>3.66</v>
      </c>
      <c r="J941">
        <v>61</v>
      </c>
      <c r="K941">
        <f t="shared" ref="K941:K943" ca="1" si="991">IF(F941="Enrolled", TODAY()-E941, "")</f>
        <v>1080</v>
      </c>
      <c r="M941">
        <f t="shared" ref="M941:M943" ca="1" si="992">IF(F941="Enrolled",TODAY() - E941,"")</f>
        <v>1080</v>
      </c>
      <c r="N941" t="str">
        <f t="shared" ref="N941:N943" si="993">IF(I943&gt;=3.5,"Excellent",IF(I943&gt;=3,"Good",IF(I943&gt;=2,"Average","Poor")))</f>
        <v>Average</v>
      </c>
      <c r="O941" t="e">
        <f t="shared" ref="O941:O943" si="994">VLOOKUP(D941, $T$18:$U$23, 2, FALSE)</f>
        <v>#N/A</v>
      </c>
      <c r="P941" t="str">
        <f t="shared" ref="P941:P943" si="995">IF(H941 &gt; 0.5 * G941, "YES", "NO")</f>
        <v>NO</v>
      </c>
      <c r="Q941">
        <f t="shared" si="952"/>
        <v>187733</v>
      </c>
      <c r="R941" t="str">
        <f t="shared" ref="R941:R943" si="996">IF(MONTH(E935)&gt;=6, YEAR(E935) &amp; "-" &amp; YEAR(E935)+1, YEAR(E935)-1 &amp; "-" &amp; YEAR(E935))</f>
        <v>2023-2024</v>
      </c>
    </row>
    <row r="942" spans="1:18" x14ac:dyDescent="0.25">
      <c r="A942" t="s">
        <v>2251</v>
      </c>
      <c r="B942" t="s">
        <v>2252</v>
      </c>
      <c r="C942" t="s">
        <v>55</v>
      </c>
      <c r="D942" t="s">
        <v>9</v>
      </c>
      <c r="E942" s="1">
        <v>45210</v>
      </c>
      <c r="F942" t="s">
        <v>5</v>
      </c>
      <c r="G942">
        <v>10579</v>
      </c>
      <c r="H942">
        <v>4678</v>
      </c>
      <c r="I942">
        <v>3.15</v>
      </c>
      <c r="J942">
        <v>43</v>
      </c>
      <c r="K942">
        <f t="shared" ca="1" si="991"/>
        <v>757</v>
      </c>
      <c r="M942">
        <f t="shared" ca="1" si="992"/>
        <v>757</v>
      </c>
      <c r="N942" t="str">
        <f t="shared" si="993"/>
        <v>Excellent</v>
      </c>
      <c r="O942" t="e">
        <f t="shared" si="994"/>
        <v>#N/A</v>
      </c>
      <c r="P942" t="str">
        <f t="shared" si="995"/>
        <v>NO</v>
      </c>
      <c r="Q942">
        <f t="shared" si="952"/>
        <v>187733</v>
      </c>
      <c r="R942" t="str">
        <f t="shared" si="996"/>
        <v>2023-2024</v>
      </c>
    </row>
    <row r="943" spans="1:18" x14ac:dyDescent="0.25">
      <c r="A943" t="s">
        <v>2253</v>
      </c>
      <c r="B943" t="s">
        <v>2254</v>
      </c>
      <c r="C943" t="s">
        <v>55</v>
      </c>
      <c r="D943" t="s">
        <v>3</v>
      </c>
      <c r="E943" s="1">
        <v>45233</v>
      </c>
      <c r="F943" t="s">
        <v>5</v>
      </c>
      <c r="G943">
        <v>2260</v>
      </c>
      <c r="H943">
        <v>2232</v>
      </c>
      <c r="I943">
        <v>2.94</v>
      </c>
      <c r="J943">
        <v>35</v>
      </c>
      <c r="K943">
        <f t="shared" ca="1" si="991"/>
        <v>734</v>
      </c>
      <c r="M943">
        <f t="shared" ca="1" si="992"/>
        <v>734</v>
      </c>
      <c r="N943" t="str">
        <f t="shared" si="993"/>
        <v>Average</v>
      </c>
      <c r="O943" t="e">
        <f t="shared" si="994"/>
        <v>#N/A</v>
      </c>
      <c r="P943" t="str">
        <f t="shared" si="995"/>
        <v>YES</v>
      </c>
      <c r="Q943">
        <f t="shared" si="952"/>
        <v>187733</v>
      </c>
      <c r="R943" t="str">
        <f t="shared" si="996"/>
        <v>2022-2023</v>
      </c>
    </row>
    <row r="944" spans="1:18" hidden="1" x14ac:dyDescent="0.25">
      <c r="A944" t="s">
        <v>2255</v>
      </c>
      <c r="B944" t="s">
        <v>2256</v>
      </c>
      <c r="C944" t="s">
        <v>55</v>
      </c>
      <c r="D944" t="s">
        <v>9</v>
      </c>
      <c r="E944" t="s">
        <v>2257</v>
      </c>
      <c r="F944" t="s">
        <v>11</v>
      </c>
      <c r="G944">
        <v>7638</v>
      </c>
      <c r="H944">
        <v>5209</v>
      </c>
      <c r="I944">
        <v>3.8</v>
      </c>
      <c r="J944">
        <v>21</v>
      </c>
      <c r="Q944">
        <f t="shared" si="952"/>
        <v>187733</v>
      </c>
    </row>
    <row r="945" spans="1:18" x14ac:dyDescent="0.25">
      <c r="A945" t="s">
        <v>2258</v>
      </c>
      <c r="B945" t="s">
        <v>2259</v>
      </c>
      <c r="C945" t="s">
        <v>14</v>
      </c>
      <c r="D945" t="s">
        <v>65</v>
      </c>
      <c r="E945" t="s">
        <v>1931</v>
      </c>
      <c r="F945" t="s">
        <v>5</v>
      </c>
      <c r="G945">
        <v>3557</v>
      </c>
      <c r="H945">
        <v>2458</v>
      </c>
      <c r="I945">
        <v>2.95</v>
      </c>
      <c r="J945">
        <v>116</v>
      </c>
      <c r="K945">
        <f t="shared" ref="K945:K949" ca="1" si="997">IF(F945="Enrolled", TODAY()-E945, "")</f>
        <v>709</v>
      </c>
      <c r="M945">
        <f t="shared" ref="M945:M949" ca="1" si="998">IF(F945="Enrolled",TODAY() - E945,"")</f>
        <v>709</v>
      </c>
      <c r="N945" t="str">
        <f t="shared" ref="N945:N949" si="999">IF(I947&gt;=3.5,"Excellent",IF(I947&gt;=3,"Good",IF(I947&gt;=2,"Average","Poor")))</f>
        <v>Excellent</v>
      </c>
      <c r="O945" t="e">
        <f t="shared" ref="O945:O949" si="1000">VLOOKUP(D945, $T$18:$U$23, 2, FALSE)</f>
        <v>#N/A</v>
      </c>
      <c r="P945" t="str">
        <f t="shared" ref="P945:P949" si="1001">IF(H945 &gt; 0.5 * G945, "YES", "NO")</f>
        <v>YES</v>
      </c>
      <c r="Q945">
        <f t="shared" si="952"/>
        <v>180095</v>
      </c>
      <c r="R945" t="str">
        <f t="shared" ref="R945:R949" si="1002">IF(MONTH(E939)&gt;=6, YEAR(E939) &amp; "-" &amp; YEAR(E939)+1, YEAR(E939)-1 &amp; "-" &amp; YEAR(E939))</f>
        <v>2023-2024</v>
      </c>
    </row>
    <row r="946" spans="1:18" x14ac:dyDescent="0.25">
      <c r="A946" t="s">
        <v>2260</v>
      </c>
      <c r="B946" t="s">
        <v>2261</v>
      </c>
      <c r="C946" t="s">
        <v>21</v>
      </c>
      <c r="D946" t="s">
        <v>3</v>
      </c>
      <c r="E946" t="s">
        <v>2262</v>
      </c>
      <c r="F946" t="s">
        <v>5</v>
      </c>
      <c r="G946">
        <v>4417</v>
      </c>
      <c r="H946">
        <v>1293</v>
      </c>
      <c r="I946">
        <v>3.32</v>
      </c>
      <c r="J946">
        <v>92</v>
      </c>
      <c r="K946">
        <f t="shared" ca="1" si="997"/>
        <v>1198</v>
      </c>
      <c r="M946">
        <f t="shared" ca="1" si="998"/>
        <v>1198</v>
      </c>
      <c r="N946" t="str">
        <f t="shared" si="999"/>
        <v>Excellent</v>
      </c>
      <c r="O946" t="e">
        <f t="shared" si="1000"/>
        <v>#N/A</v>
      </c>
      <c r="P946" t="str">
        <f t="shared" si="1001"/>
        <v>NO</v>
      </c>
      <c r="Q946">
        <f t="shared" si="952"/>
        <v>180095</v>
      </c>
      <c r="R946" t="str">
        <f t="shared" si="1002"/>
        <v>2022-2023</v>
      </c>
    </row>
    <row r="947" spans="1:18" x14ac:dyDescent="0.25">
      <c r="A947" t="s">
        <v>2263</v>
      </c>
      <c r="B947" t="s">
        <v>2264</v>
      </c>
      <c r="C947" t="s">
        <v>8</v>
      </c>
      <c r="D947" t="s">
        <v>9</v>
      </c>
      <c r="E947" t="s">
        <v>892</v>
      </c>
      <c r="F947" t="s">
        <v>5</v>
      </c>
      <c r="G947">
        <v>12066</v>
      </c>
      <c r="H947">
        <v>8134</v>
      </c>
      <c r="I947">
        <v>3.63</v>
      </c>
      <c r="J947">
        <v>103</v>
      </c>
      <c r="K947">
        <f t="shared" ca="1" si="997"/>
        <v>1207</v>
      </c>
      <c r="M947">
        <f t="shared" ca="1" si="998"/>
        <v>1207</v>
      </c>
      <c r="N947" t="str">
        <f t="shared" si="999"/>
        <v>Average</v>
      </c>
      <c r="O947" t="e">
        <f t="shared" si="1000"/>
        <v>#N/A</v>
      </c>
      <c r="P947" t="str">
        <f t="shared" si="1001"/>
        <v>YES</v>
      </c>
      <c r="Q947">
        <f t="shared" si="952"/>
        <v>180095</v>
      </c>
      <c r="R947" t="str">
        <f t="shared" si="1002"/>
        <v>2022-2023</v>
      </c>
    </row>
    <row r="948" spans="1:18" x14ac:dyDescent="0.25">
      <c r="A948" t="s">
        <v>2265</v>
      </c>
      <c r="B948" t="s">
        <v>2266</v>
      </c>
      <c r="C948" t="s">
        <v>58</v>
      </c>
      <c r="D948" t="s">
        <v>25</v>
      </c>
      <c r="E948" t="s">
        <v>2267</v>
      </c>
      <c r="F948" t="s">
        <v>5</v>
      </c>
      <c r="G948">
        <v>2266</v>
      </c>
      <c r="H948">
        <v>3921</v>
      </c>
      <c r="I948">
        <v>3.84</v>
      </c>
      <c r="J948">
        <v>3</v>
      </c>
      <c r="K948">
        <f t="shared" ca="1" si="997"/>
        <v>652</v>
      </c>
      <c r="M948">
        <f t="shared" ca="1" si="998"/>
        <v>652</v>
      </c>
      <c r="N948" t="str">
        <f t="shared" si="999"/>
        <v>Excellent</v>
      </c>
      <c r="O948" t="e">
        <f t="shared" si="1000"/>
        <v>#N/A</v>
      </c>
      <c r="P948" t="str">
        <f t="shared" si="1001"/>
        <v>YES</v>
      </c>
      <c r="Q948">
        <f t="shared" si="952"/>
        <v>180095</v>
      </c>
      <c r="R948" t="str">
        <f t="shared" si="1002"/>
        <v>2023-2024</v>
      </c>
    </row>
    <row r="949" spans="1:18" x14ac:dyDescent="0.25">
      <c r="A949" t="s">
        <v>2268</v>
      </c>
      <c r="B949" t="s">
        <v>2269</v>
      </c>
      <c r="C949" t="s">
        <v>32</v>
      </c>
      <c r="D949" t="s">
        <v>25</v>
      </c>
      <c r="E949" s="1">
        <v>45477</v>
      </c>
      <c r="F949" t="s">
        <v>5</v>
      </c>
      <c r="G949">
        <v>2363</v>
      </c>
      <c r="H949">
        <v>3593</v>
      </c>
      <c r="I949">
        <v>2.56</v>
      </c>
      <c r="J949">
        <v>119</v>
      </c>
      <c r="K949">
        <f t="shared" ca="1" si="997"/>
        <v>490</v>
      </c>
      <c r="M949">
        <f t="shared" ca="1" si="998"/>
        <v>490</v>
      </c>
      <c r="N949" t="str">
        <f t="shared" si="999"/>
        <v>Average</v>
      </c>
      <c r="O949" t="e">
        <f t="shared" si="1000"/>
        <v>#N/A</v>
      </c>
      <c r="P949" t="str">
        <f t="shared" si="1001"/>
        <v>YES</v>
      </c>
      <c r="Q949">
        <f t="shared" si="952"/>
        <v>180095</v>
      </c>
      <c r="R949" t="str">
        <f t="shared" si="1002"/>
        <v>2023-2024</v>
      </c>
    </row>
    <row r="950" spans="1:18" hidden="1" x14ac:dyDescent="0.25">
      <c r="A950" t="s">
        <v>2270</v>
      </c>
      <c r="B950" t="s">
        <v>2271</v>
      </c>
      <c r="C950" t="s">
        <v>2</v>
      </c>
      <c r="D950" t="s">
        <v>9</v>
      </c>
      <c r="E950" t="s">
        <v>504</v>
      </c>
      <c r="F950" t="s">
        <v>36</v>
      </c>
      <c r="G950">
        <v>2336</v>
      </c>
      <c r="H950">
        <v>7138</v>
      </c>
      <c r="I950">
        <v>3.58</v>
      </c>
      <c r="J950">
        <v>94</v>
      </c>
      <c r="Q950">
        <f t="shared" si="952"/>
        <v>180095</v>
      </c>
    </row>
    <row r="951" spans="1:18" hidden="1" x14ac:dyDescent="0.25">
      <c r="A951" t="s">
        <v>2272</v>
      </c>
      <c r="B951" t="s">
        <v>2273</v>
      </c>
      <c r="C951" t="s">
        <v>58</v>
      </c>
      <c r="D951" t="s">
        <v>25</v>
      </c>
      <c r="E951" t="s">
        <v>1531</v>
      </c>
      <c r="F951" t="s">
        <v>11</v>
      </c>
      <c r="G951">
        <v>14712</v>
      </c>
      <c r="H951">
        <v>9626</v>
      </c>
      <c r="I951">
        <v>2.92</v>
      </c>
      <c r="J951">
        <v>18</v>
      </c>
      <c r="Q951">
        <f t="shared" si="952"/>
        <v>180095</v>
      </c>
    </row>
    <row r="952" spans="1:18" hidden="1" x14ac:dyDescent="0.25">
      <c r="A952" t="s">
        <v>2274</v>
      </c>
      <c r="B952" t="s">
        <v>2275</v>
      </c>
      <c r="C952" t="s">
        <v>2</v>
      </c>
      <c r="D952" t="s">
        <v>9</v>
      </c>
      <c r="E952" s="1">
        <v>44716</v>
      </c>
      <c r="F952" t="s">
        <v>11</v>
      </c>
      <c r="G952">
        <v>5822</v>
      </c>
      <c r="H952">
        <v>3156</v>
      </c>
      <c r="I952">
        <v>2.89</v>
      </c>
      <c r="J952">
        <v>53</v>
      </c>
      <c r="Q952">
        <f t="shared" si="952"/>
        <v>180095</v>
      </c>
    </row>
    <row r="953" spans="1:18" hidden="1" x14ac:dyDescent="0.25">
      <c r="A953" t="s">
        <v>2276</v>
      </c>
      <c r="B953" t="s">
        <v>2277</v>
      </c>
      <c r="C953" t="s">
        <v>14</v>
      </c>
      <c r="D953" t="s">
        <v>25</v>
      </c>
      <c r="E953" t="s">
        <v>1127</v>
      </c>
      <c r="F953" t="s">
        <v>11</v>
      </c>
      <c r="G953">
        <v>13010</v>
      </c>
      <c r="H953">
        <v>5677</v>
      </c>
      <c r="I953">
        <v>2.0299999999999998</v>
      </c>
      <c r="J953">
        <v>72</v>
      </c>
      <c r="Q953">
        <f t="shared" si="952"/>
        <v>174273</v>
      </c>
    </row>
    <row r="954" spans="1:18" hidden="1" x14ac:dyDescent="0.25">
      <c r="A954" t="s">
        <v>2278</v>
      </c>
      <c r="B954" t="s">
        <v>2279</v>
      </c>
      <c r="C954" t="s">
        <v>8</v>
      </c>
      <c r="D954" t="s">
        <v>3</v>
      </c>
      <c r="E954" s="1">
        <v>45327</v>
      </c>
      <c r="F954" t="s">
        <v>11</v>
      </c>
      <c r="G954">
        <v>6167</v>
      </c>
      <c r="H954">
        <v>6095</v>
      </c>
      <c r="I954">
        <v>2.99</v>
      </c>
      <c r="J954">
        <v>94</v>
      </c>
      <c r="Q954">
        <f t="shared" si="952"/>
        <v>174273</v>
      </c>
    </row>
    <row r="955" spans="1:18" hidden="1" x14ac:dyDescent="0.25">
      <c r="A955" t="s">
        <v>2280</v>
      </c>
      <c r="B955" t="s">
        <v>2281</v>
      </c>
      <c r="C955" t="s">
        <v>58</v>
      </c>
      <c r="D955" t="s">
        <v>25</v>
      </c>
      <c r="E955" s="1">
        <v>44747</v>
      </c>
      <c r="F955" t="s">
        <v>11</v>
      </c>
      <c r="G955">
        <v>3815</v>
      </c>
      <c r="H955">
        <v>2083</v>
      </c>
      <c r="I955">
        <v>3.66</v>
      </c>
      <c r="J955">
        <v>92</v>
      </c>
      <c r="Q955">
        <f t="shared" si="952"/>
        <v>174273</v>
      </c>
    </row>
    <row r="956" spans="1:18" hidden="1" x14ac:dyDescent="0.25">
      <c r="A956" t="s">
        <v>2282</v>
      </c>
      <c r="B956" t="s">
        <v>2283</v>
      </c>
      <c r="C956" t="s">
        <v>2</v>
      </c>
      <c r="D956" t="s">
        <v>65</v>
      </c>
      <c r="E956" t="s">
        <v>534</v>
      </c>
      <c r="F956" t="s">
        <v>11</v>
      </c>
      <c r="G956">
        <v>6719</v>
      </c>
      <c r="H956">
        <v>7812</v>
      </c>
      <c r="I956">
        <v>3.91</v>
      </c>
      <c r="J956">
        <v>116</v>
      </c>
      <c r="Q956">
        <f t="shared" si="952"/>
        <v>174273</v>
      </c>
    </row>
    <row r="957" spans="1:18" x14ac:dyDescent="0.25">
      <c r="A957" t="s">
        <v>2284</v>
      </c>
      <c r="B957" t="s">
        <v>2285</v>
      </c>
      <c r="C957" t="s">
        <v>17</v>
      </c>
      <c r="D957" t="s">
        <v>9</v>
      </c>
      <c r="E957" t="s">
        <v>564</v>
      </c>
      <c r="F957" t="s">
        <v>5</v>
      </c>
      <c r="G957">
        <v>4490</v>
      </c>
      <c r="H957">
        <v>1702</v>
      </c>
      <c r="I957">
        <v>2.7</v>
      </c>
      <c r="J957">
        <v>94</v>
      </c>
      <c r="K957">
        <f t="shared" ref="K957" ca="1" si="1003">IF(F957="Enrolled", TODAY()-E957, "")</f>
        <v>715</v>
      </c>
      <c r="M957">
        <f ca="1">IF(F957="Enrolled",TODAY() - E957,"")</f>
        <v>715</v>
      </c>
      <c r="N957" t="str">
        <f>IF(I959&gt;=3.5,"Excellent",IF(I959&gt;=3,"Good",IF(I959&gt;=2,"Average","Poor")))</f>
        <v>Excellent</v>
      </c>
      <c r="O957" t="e">
        <f>VLOOKUP(D957, $T$18:$U$23, 2, FALSE)</f>
        <v>#N/A</v>
      </c>
      <c r="P957" t="str">
        <f>IF(H957 &gt; 0.5 * G957, "YES", "NO")</f>
        <v>NO</v>
      </c>
      <c r="Q957">
        <f t="shared" si="952"/>
        <v>174273</v>
      </c>
      <c r="R957" t="str">
        <f t="shared" ref="R957" si="1004">IF(MONTH(E951)&gt;=6, YEAR(E951) &amp; "-" &amp; YEAR(E951)+1, YEAR(E951)-1 &amp; "-" &amp; YEAR(E951))</f>
        <v>2022-2023</v>
      </c>
    </row>
    <row r="958" spans="1:18" hidden="1" x14ac:dyDescent="0.25">
      <c r="A958" t="s">
        <v>2286</v>
      </c>
      <c r="B958" t="s">
        <v>2287</v>
      </c>
      <c r="C958" t="s">
        <v>8</v>
      </c>
      <c r="D958" t="s">
        <v>9</v>
      </c>
      <c r="E958" s="1">
        <v>44992</v>
      </c>
      <c r="F958" t="s">
        <v>11</v>
      </c>
      <c r="G958">
        <v>9668</v>
      </c>
      <c r="H958">
        <v>1839</v>
      </c>
      <c r="I958">
        <v>2.5099999999999998</v>
      </c>
      <c r="J958">
        <v>85</v>
      </c>
      <c r="Q958">
        <f t="shared" si="952"/>
        <v>174273</v>
      </c>
    </row>
    <row r="959" spans="1:18" x14ac:dyDescent="0.25">
      <c r="A959" t="s">
        <v>2288</v>
      </c>
      <c r="B959" t="s">
        <v>2289</v>
      </c>
      <c r="C959" t="s">
        <v>21</v>
      </c>
      <c r="D959" t="s">
        <v>3</v>
      </c>
      <c r="E959" t="s">
        <v>1684</v>
      </c>
      <c r="F959" t="s">
        <v>5</v>
      </c>
      <c r="G959">
        <v>2432</v>
      </c>
      <c r="H959">
        <v>5071</v>
      </c>
      <c r="I959">
        <v>3.8</v>
      </c>
      <c r="J959">
        <v>49</v>
      </c>
      <c r="K959">
        <f t="shared" ref="K959:K960" ca="1" si="1005">IF(F959="Enrolled", TODAY()-E959, "")</f>
        <v>751</v>
      </c>
      <c r="M959">
        <f t="shared" ref="M959:M960" ca="1" si="1006">IF(F959="Enrolled",TODAY() - E959,"")</f>
        <v>751</v>
      </c>
      <c r="N959" t="str">
        <f t="shared" ref="N959:N960" si="1007">IF(I961&gt;=3.5,"Excellent",IF(I961&gt;=3,"Good",IF(I961&gt;=2,"Average","Poor")))</f>
        <v>Good</v>
      </c>
      <c r="O959" t="e">
        <f t="shared" ref="O959:O960" si="1008">VLOOKUP(D959, $T$18:$U$23, 2, FALSE)</f>
        <v>#N/A</v>
      </c>
      <c r="P959" t="str">
        <f t="shared" ref="P959:P960" si="1009">IF(H959 &gt; 0.5 * G959, "YES", "NO")</f>
        <v>YES</v>
      </c>
      <c r="Q959">
        <f t="shared" si="952"/>
        <v>164605</v>
      </c>
      <c r="R959" t="str">
        <f t="shared" ref="R959:R960" si="1010">IF(MONTH(E953)&gt;=6, YEAR(E953) &amp; "-" &amp; YEAR(E953)+1, YEAR(E953)-1 &amp; "-" &amp; YEAR(E953))</f>
        <v>2023-2024</v>
      </c>
    </row>
    <row r="960" spans="1:18" x14ac:dyDescent="0.25">
      <c r="A960" t="s">
        <v>2290</v>
      </c>
      <c r="B960" t="s">
        <v>2291</v>
      </c>
      <c r="C960" t="s">
        <v>17</v>
      </c>
      <c r="D960" t="s">
        <v>3</v>
      </c>
      <c r="E960" t="s">
        <v>463</v>
      </c>
      <c r="F960" t="s">
        <v>5</v>
      </c>
      <c r="G960">
        <v>3242</v>
      </c>
      <c r="H960">
        <v>9900</v>
      </c>
      <c r="I960">
        <v>3.85</v>
      </c>
      <c r="J960">
        <v>83</v>
      </c>
      <c r="K960">
        <f t="shared" ca="1" si="1005"/>
        <v>1011</v>
      </c>
      <c r="M960">
        <f t="shared" ca="1" si="1006"/>
        <v>1011</v>
      </c>
      <c r="N960" t="str">
        <f t="shared" si="1007"/>
        <v>Average</v>
      </c>
      <c r="O960" t="e">
        <f t="shared" si="1008"/>
        <v>#N/A</v>
      </c>
      <c r="P960" t="str">
        <f t="shared" si="1009"/>
        <v>YES</v>
      </c>
      <c r="Q960">
        <f t="shared" si="952"/>
        <v>164605</v>
      </c>
      <c r="R960" t="str">
        <f t="shared" si="1010"/>
        <v>2023-2024</v>
      </c>
    </row>
    <row r="961" spans="1:18" hidden="1" x14ac:dyDescent="0.25">
      <c r="A961" t="s">
        <v>2292</v>
      </c>
      <c r="B961" t="s">
        <v>2293</v>
      </c>
      <c r="C961" t="s">
        <v>14</v>
      </c>
      <c r="D961" t="s">
        <v>65</v>
      </c>
      <c r="E961" t="s">
        <v>949</v>
      </c>
      <c r="F961" t="s">
        <v>11</v>
      </c>
      <c r="G961">
        <v>14853</v>
      </c>
      <c r="H961">
        <v>6485</v>
      </c>
      <c r="I961">
        <v>3.3</v>
      </c>
      <c r="J961">
        <v>2</v>
      </c>
      <c r="Q961">
        <f t="shared" si="952"/>
        <v>164605</v>
      </c>
    </row>
    <row r="962" spans="1:18" x14ac:dyDescent="0.25">
      <c r="A962" t="s">
        <v>2294</v>
      </c>
      <c r="B962" t="s">
        <v>2295</v>
      </c>
      <c r="C962" t="s">
        <v>14</v>
      </c>
      <c r="D962" t="s">
        <v>3</v>
      </c>
      <c r="E962" t="s">
        <v>22</v>
      </c>
      <c r="F962" t="s">
        <v>5</v>
      </c>
      <c r="G962">
        <v>11497</v>
      </c>
      <c r="H962">
        <v>8841</v>
      </c>
      <c r="I962">
        <v>2.23</v>
      </c>
      <c r="J962">
        <v>50</v>
      </c>
      <c r="K962">
        <f t="shared" ref="K962" ca="1" si="1011">IF(F962="Enrolled", TODAY()-E962, "")</f>
        <v>567</v>
      </c>
      <c r="M962">
        <f ca="1">IF(F962="Enrolled",TODAY() - E962,"")</f>
        <v>567</v>
      </c>
      <c r="N962" t="str">
        <f>IF(I964&gt;=3.5,"Excellent",IF(I964&gt;=3,"Good",IF(I964&gt;=2,"Average","Poor")))</f>
        <v>Average</v>
      </c>
      <c r="O962" t="e">
        <f>VLOOKUP(D962, $T$18:$U$23, 2, FALSE)</f>
        <v>#N/A</v>
      </c>
      <c r="P962" t="str">
        <f>IF(H962 &gt; 0.5 * G962, "YES", "NO")</f>
        <v>YES</v>
      </c>
      <c r="Q962">
        <f t="shared" si="952"/>
        <v>164605</v>
      </c>
      <c r="R962" t="str">
        <f t="shared" ref="R962" si="1012">IF(MONTH(E956)&gt;=6, YEAR(E956) &amp; "-" &amp; YEAR(E956)+1, YEAR(E956)-1 &amp; "-" &amp; YEAR(E956))</f>
        <v>2022-2023</v>
      </c>
    </row>
    <row r="963" spans="1:18" hidden="1" x14ac:dyDescent="0.25">
      <c r="A963" t="s">
        <v>2296</v>
      </c>
      <c r="B963" t="s">
        <v>2297</v>
      </c>
      <c r="C963" t="s">
        <v>32</v>
      </c>
      <c r="D963" t="s">
        <v>9</v>
      </c>
      <c r="E963" s="1">
        <v>45118</v>
      </c>
      <c r="F963" t="s">
        <v>11</v>
      </c>
      <c r="G963">
        <v>2983</v>
      </c>
      <c r="H963">
        <v>8417</v>
      </c>
      <c r="I963">
        <v>2.6</v>
      </c>
      <c r="J963">
        <v>2</v>
      </c>
      <c r="Q963">
        <f t="shared" si="952"/>
        <v>164605</v>
      </c>
    </row>
    <row r="964" spans="1:18" hidden="1" x14ac:dyDescent="0.25">
      <c r="A964" t="s">
        <v>2298</v>
      </c>
      <c r="B964" t="s">
        <v>2299</v>
      </c>
      <c r="C964" t="s">
        <v>55</v>
      </c>
      <c r="D964" t="s">
        <v>9</v>
      </c>
      <c r="E964" s="1">
        <v>44842</v>
      </c>
      <c r="F964" t="s">
        <v>11</v>
      </c>
      <c r="G964">
        <v>2880</v>
      </c>
      <c r="H964">
        <v>2545</v>
      </c>
      <c r="I964">
        <v>2.57</v>
      </c>
      <c r="J964">
        <v>32</v>
      </c>
      <c r="Q964">
        <f t="shared" si="952"/>
        <v>161622</v>
      </c>
    </row>
    <row r="965" spans="1:18" x14ac:dyDescent="0.25">
      <c r="A965" t="s">
        <v>2300</v>
      </c>
      <c r="B965" t="s">
        <v>2301</v>
      </c>
      <c r="C965" t="s">
        <v>55</v>
      </c>
      <c r="D965" t="s">
        <v>9</v>
      </c>
      <c r="E965" s="1">
        <v>44777</v>
      </c>
      <c r="F965" t="s">
        <v>5</v>
      </c>
      <c r="G965">
        <v>6951</v>
      </c>
      <c r="H965">
        <v>321</v>
      </c>
      <c r="I965">
        <v>2.7</v>
      </c>
      <c r="J965">
        <v>61</v>
      </c>
      <c r="K965">
        <f t="shared" ref="K965" ca="1" si="1013">IF(F965="Enrolled", TODAY()-E965, "")</f>
        <v>1190</v>
      </c>
      <c r="M965">
        <f ca="1">IF(F965="Enrolled",TODAY() - E965,"")</f>
        <v>1190</v>
      </c>
      <c r="N965" t="str">
        <f>IF(I967&gt;=3.5,"Excellent",IF(I967&gt;=3,"Good",IF(I967&gt;=2,"Average","Poor")))</f>
        <v>Good</v>
      </c>
      <c r="O965" t="e">
        <f>VLOOKUP(D965, $T$18:$U$23, 2, FALSE)</f>
        <v>#N/A</v>
      </c>
      <c r="P965" t="str">
        <f>IF(H965 &gt; 0.5 * G965, "YES", "NO")</f>
        <v>NO</v>
      </c>
      <c r="Q965">
        <f t="shared" si="952"/>
        <v>158742</v>
      </c>
      <c r="R965" t="str">
        <f t="shared" ref="R965" si="1014">IF(MONTH(E959)&gt;=6, YEAR(E959) &amp; "-" &amp; YEAR(E959)+1, YEAR(E959)-1 &amp; "-" &amp; YEAR(E959))</f>
        <v>2023-2024</v>
      </c>
    </row>
    <row r="966" spans="1:18" hidden="1" x14ac:dyDescent="0.25">
      <c r="A966" t="s">
        <v>2302</v>
      </c>
      <c r="B966" t="s">
        <v>2303</v>
      </c>
      <c r="C966" t="s">
        <v>8</v>
      </c>
      <c r="D966" t="s">
        <v>9</v>
      </c>
      <c r="E966" s="1">
        <v>44964</v>
      </c>
      <c r="F966" t="s">
        <v>11</v>
      </c>
      <c r="G966">
        <v>8612</v>
      </c>
      <c r="H966">
        <v>1423</v>
      </c>
      <c r="I966">
        <v>3.76</v>
      </c>
      <c r="J966">
        <v>71</v>
      </c>
      <c r="Q966">
        <f t="shared" si="952"/>
        <v>158742</v>
      </c>
    </row>
    <row r="967" spans="1:18" x14ac:dyDescent="0.25">
      <c r="A967" t="s">
        <v>2304</v>
      </c>
      <c r="B967" t="s">
        <v>2305</v>
      </c>
      <c r="C967" t="s">
        <v>8</v>
      </c>
      <c r="D967" t="s">
        <v>65</v>
      </c>
      <c r="E967" t="s">
        <v>2306</v>
      </c>
      <c r="F967" t="s">
        <v>5</v>
      </c>
      <c r="G967">
        <v>8900</v>
      </c>
      <c r="H967">
        <v>4345</v>
      </c>
      <c r="I967">
        <v>3.25</v>
      </c>
      <c r="J967">
        <v>35</v>
      </c>
      <c r="K967">
        <f t="shared" ref="K967" ca="1" si="1015">IF(F967="Enrolled", TODAY()-E967, "")</f>
        <v>658</v>
      </c>
      <c r="M967">
        <f ca="1">IF(F967="Enrolled",TODAY() - E967,"")</f>
        <v>658</v>
      </c>
      <c r="N967" t="str">
        <f>IF(I969&gt;=3.5,"Excellent",IF(I969&gt;=3,"Good",IF(I969&gt;=2,"Average","Poor")))</f>
        <v>Good</v>
      </c>
      <c r="O967" t="e">
        <f>VLOOKUP(D967, $T$18:$U$23, 2, FALSE)</f>
        <v>#N/A</v>
      </c>
      <c r="P967" t="str">
        <f>IF(H967 &gt; 0.5 * G967, "YES", "NO")</f>
        <v>NO</v>
      </c>
      <c r="Q967">
        <f t="shared" si="952"/>
        <v>150130</v>
      </c>
      <c r="R967" t="str">
        <f t="shared" ref="R967" si="1016">IF(MONTH(E961)&gt;=6, YEAR(E961) &amp; "-" &amp; YEAR(E961)+1, YEAR(E961)-1 &amp; "-" &amp; YEAR(E961))</f>
        <v>2022-2023</v>
      </c>
    </row>
    <row r="968" spans="1:18" hidden="1" x14ac:dyDescent="0.25">
      <c r="A968" t="s">
        <v>2307</v>
      </c>
      <c r="B968" t="s">
        <v>2308</v>
      </c>
      <c r="C968" t="s">
        <v>14</v>
      </c>
      <c r="D968" t="s">
        <v>25</v>
      </c>
      <c r="E968" t="s">
        <v>114</v>
      </c>
      <c r="F968" t="s">
        <v>11</v>
      </c>
      <c r="G968">
        <v>10147</v>
      </c>
      <c r="H968">
        <v>592</v>
      </c>
      <c r="I968">
        <v>3.12</v>
      </c>
      <c r="J968">
        <v>72</v>
      </c>
      <c r="Q968">
        <f t="shared" si="952"/>
        <v>150130</v>
      </c>
    </row>
    <row r="969" spans="1:18" x14ac:dyDescent="0.25">
      <c r="A969" t="s">
        <v>2309</v>
      </c>
      <c r="B969" t="s">
        <v>2310</v>
      </c>
      <c r="C969" t="s">
        <v>58</v>
      </c>
      <c r="D969" t="s">
        <v>25</v>
      </c>
      <c r="E969" s="1">
        <v>44567</v>
      </c>
      <c r="F969" t="s">
        <v>5</v>
      </c>
      <c r="G969">
        <v>11524</v>
      </c>
      <c r="H969">
        <v>885</v>
      </c>
      <c r="I969">
        <v>3.48</v>
      </c>
      <c r="J969">
        <v>39</v>
      </c>
      <c r="K969">
        <f t="shared" ref="K969:K971" ca="1" si="1017">IF(F969="Enrolled", TODAY()-E969, "")</f>
        <v>1400</v>
      </c>
      <c r="M969">
        <f t="shared" ref="M969:M971" ca="1" si="1018">IF(F969="Enrolled",TODAY() - E969,"")</f>
        <v>1400</v>
      </c>
      <c r="N969" t="str">
        <f t="shared" ref="N969:N971" si="1019">IF(I971&gt;=3.5,"Excellent",IF(I971&gt;=3,"Good",IF(I971&gt;=2,"Average","Poor")))</f>
        <v>Average</v>
      </c>
      <c r="O969" t="e">
        <f t="shared" ref="O969:O971" si="1020">VLOOKUP(D969, $T$18:$U$23, 2, FALSE)</f>
        <v>#N/A</v>
      </c>
      <c r="P969" t="str">
        <f t="shared" ref="P969:P971" si="1021">IF(H969 &gt; 0.5 * G969, "YES", "NO")</f>
        <v>NO</v>
      </c>
      <c r="Q969">
        <f t="shared" si="952"/>
        <v>150130</v>
      </c>
      <c r="R969" t="str">
        <f t="shared" ref="R969:R971" si="1022">IF(MONTH(E963)&gt;=6, YEAR(E963) &amp; "-" &amp; YEAR(E963)+1, YEAR(E963)-1 &amp; "-" &amp; YEAR(E963))</f>
        <v>2023-2024</v>
      </c>
    </row>
    <row r="970" spans="1:18" x14ac:dyDescent="0.25">
      <c r="A970" t="s">
        <v>2311</v>
      </c>
      <c r="B970" t="s">
        <v>2312</v>
      </c>
      <c r="C970" t="s">
        <v>58</v>
      </c>
      <c r="D970" t="s">
        <v>25</v>
      </c>
      <c r="E970" t="s">
        <v>439</v>
      </c>
      <c r="F970" t="s">
        <v>5</v>
      </c>
      <c r="G970">
        <v>9115</v>
      </c>
      <c r="H970">
        <v>8808</v>
      </c>
      <c r="I970">
        <v>3.15</v>
      </c>
      <c r="J970">
        <v>57</v>
      </c>
      <c r="K970">
        <f t="shared" ca="1" si="1017"/>
        <v>1384</v>
      </c>
      <c r="M970">
        <f t="shared" ca="1" si="1018"/>
        <v>1384</v>
      </c>
      <c r="N970" t="str">
        <f t="shared" si="1019"/>
        <v>Average</v>
      </c>
      <c r="O970" t="e">
        <f t="shared" si="1020"/>
        <v>#N/A</v>
      </c>
      <c r="P970" t="str">
        <f t="shared" si="1021"/>
        <v>YES</v>
      </c>
      <c r="Q970">
        <f t="shared" si="952"/>
        <v>150130</v>
      </c>
      <c r="R970" t="str">
        <f t="shared" si="1022"/>
        <v>2022-2023</v>
      </c>
    </row>
    <row r="971" spans="1:18" x14ac:dyDescent="0.25">
      <c r="A971" t="s">
        <v>2313</v>
      </c>
      <c r="B971" t="s">
        <v>2314</v>
      </c>
      <c r="C971" t="s">
        <v>55</v>
      </c>
      <c r="D971" t="s">
        <v>65</v>
      </c>
      <c r="E971" t="s">
        <v>1276</v>
      </c>
      <c r="F971" t="s">
        <v>5</v>
      </c>
      <c r="G971">
        <v>14396</v>
      </c>
      <c r="H971">
        <v>1245</v>
      </c>
      <c r="I971">
        <v>2.91</v>
      </c>
      <c r="J971">
        <v>89</v>
      </c>
      <c r="K971">
        <f t="shared" ca="1" si="1017"/>
        <v>1196</v>
      </c>
      <c r="M971">
        <f t="shared" ca="1" si="1018"/>
        <v>1196</v>
      </c>
      <c r="N971" t="str">
        <f t="shared" si="1019"/>
        <v>Excellent</v>
      </c>
      <c r="O971" t="e">
        <f t="shared" si="1020"/>
        <v>#N/A</v>
      </c>
      <c r="P971" t="str">
        <f t="shared" si="1021"/>
        <v>NO</v>
      </c>
      <c r="Q971">
        <f t="shared" si="952"/>
        <v>150130</v>
      </c>
      <c r="R971" t="str">
        <f t="shared" si="1022"/>
        <v>2022-2023</v>
      </c>
    </row>
    <row r="972" spans="1:18" hidden="1" x14ac:dyDescent="0.25">
      <c r="A972" t="s">
        <v>2315</v>
      </c>
      <c r="B972" t="s">
        <v>2316</v>
      </c>
      <c r="C972" t="s">
        <v>55</v>
      </c>
      <c r="D972" t="s">
        <v>25</v>
      </c>
      <c r="E972" t="s">
        <v>1356</v>
      </c>
      <c r="F972" t="s">
        <v>11</v>
      </c>
      <c r="G972">
        <v>8599</v>
      </c>
      <c r="H972">
        <v>3888</v>
      </c>
      <c r="I972">
        <v>2.88</v>
      </c>
      <c r="J972">
        <v>8</v>
      </c>
      <c r="Q972">
        <f t="shared" si="952"/>
        <v>150130</v>
      </c>
    </row>
    <row r="973" spans="1:18" x14ac:dyDescent="0.25">
      <c r="A973" t="s">
        <v>2317</v>
      </c>
      <c r="B973" t="s">
        <v>2318</v>
      </c>
      <c r="C973" t="s">
        <v>17</v>
      </c>
      <c r="D973" t="s">
        <v>9</v>
      </c>
      <c r="E973" s="1">
        <v>45325</v>
      </c>
      <c r="F973" t="s">
        <v>5</v>
      </c>
      <c r="G973">
        <v>14700</v>
      </c>
      <c r="H973">
        <v>4688</v>
      </c>
      <c r="I973">
        <v>3.69</v>
      </c>
      <c r="J973">
        <v>34</v>
      </c>
      <c r="K973">
        <f t="shared" ref="K973:K974" ca="1" si="1023">IF(F973="Enrolled", TODAY()-E973, "")</f>
        <v>642</v>
      </c>
      <c r="M973">
        <f t="shared" ref="M973:M974" ca="1" si="1024">IF(F973="Enrolled",TODAY() - E973,"")</f>
        <v>642</v>
      </c>
      <c r="N973" t="str">
        <f t="shared" ref="N973:N974" si="1025">IF(I975&gt;=3.5,"Excellent",IF(I975&gt;=3,"Good",IF(I975&gt;=2,"Average","Poor")))</f>
        <v>Average</v>
      </c>
      <c r="O973" t="e">
        <f t="shared" ref="O973:O974" si="1026">VLOOKUP(D973, $T$18:$U$23, 2, FALSE)</f>
        <v>#N/A</v>
      </c>
      <c r="P973" t="str">
        <f t="shared" ref="P973:P974" si="1027">IF(H973 &gt; 0.5 * G973, "YES", "NO")</f>
        <v>NO</v>
      </c>
      <c r="Q973">
        <f t="shared" ref="Q973:Q1036" si="1028">SUMIFS(G973:G2171, F973:F2171, "Completed", D973:D2171, "Science")</f>
        <v>150130</v>
      </c>
      <c r="R973" t="str">
        <f t="shared" ref="R973:R974" si="1029">IF(MONTH(E967)&gt;=6, YEAR(E967) &amp; "-" &amp; YEAR(E967)+1, YEAR(E967)-1 &amp; "-" &amp; YEAR(E967))</f>
        <v>2023-2024</v>
      </c>
    </row>
    <row r="974" spans="1:18" x14ac:dyDescent="0.25">
      <c r="A974" t="s">
        <v>2319</v>
      </c>
      <c r="B974" t="s">
        <v>2320</v>
      </c>
      <c r="C974" t="s">
        <v>55</v>
      </c>
      <c r="D974" t="s">
        <v>25</v>
      </c>
      <c r="E974" s="1">
        <v>45355</v>
      </c>
      <c r="F974" t="s">
        <v>5</v>
      </c>
      <c r="G974">
        <v>9199</v>
      </c>
      <c r="H974">
        <v>9495</v>
      </c>
      <c r="I974">
        <v>3.04</v>
      </c>
      <c r="J974">
        <v>20</v>
      </c>
      <c r="K974">
        <f t="shared" ca="1" si="1023"/>
        <v>612</v>
      </c>
      <c r="M974">
        <f t="shared" ca="1" si="1024"/>
        <v>612</v>
      </c>
      <c r="N974" t="str">
        <f t="shared" si="1025"/>
        <v>Average</v>
      </c>
      <c r="O974" t="e">
        <f t="shared" si="1026"/>
        <v>#N/A</v>
      </c>
      <c r="P974" t="str">
        <f t="shared" si="1027"/>
        <v>YES</v>
      </c>
      <c r="Q974">
        <f t="shared" si="1028"/>
        <v>150130</v>
      </c>
      <c r="R974" t="str">
        <f t="shared" si="1029"/>
        <v>2023-2024</v>
      </c>
    </row>
    <row r="975" spans="1:18" hidden="1" x14ac:dyDescent="0.25">
      <c r="A975" t="s">
        <v>2321</v>
      </c>
      <c r="B975" t="s">
        <v>2322</v>
      </c>
      <c r="C975" t="s">
        <v>32</v>
      </c>
      <c r="D975" t="s">
        <v>65</v>
      </c>
      <c r="E975" t="s">
        <v>1154</v>
      </c>
      <c r="F975" t="s">
        <v>36</v>
      </c>
      <c r="G975">
        <v>6798</v>
      </c>
      <c r="H975">
        <v>3454</v>
      </c>
      <c r="I975">
        <v>2.97</v>
      </c>
      <c r="J975">
        <v>28</v>
      </c>
      <c r="Q975">
        <f t="shared" si="1028"/>
        <v>150130</v>
      </c>
    </row>
    <row r="976" spans="1:18" x14ac:dyDescent="0.25">
      <c r="A976" t="s">
        <v>2323</v>
      </c>
      <c r="B976" t="s">
        <v>2324</v>
      </c>
      <c r="C976" t="s">
        <v>58</v>
      </c>
      <c r="D976" t="s">
        <v>65</v>
      </c>
      <c r="E976" t="s">
        <v>1791</v>
      </c>
      <c r="F976" t="s">
        <v>5</v>
      </c>
      <c r="G976">
        <v>7093</v>
      </c>
      <c r="H976">
        <v>2651</v>
      </c>
      <c r="I976">
        <v>2.2999999999999998</v>
      </c>
      <c r="J976">
        <v>75</v>
      </c>
      <c r="K976">
        <f t="shared" ref="K976" ca="1" si="1030">IF(F976="Enrolled", TODAY()-E976, "")</f>
        <v>1236</v>
      </c>
      <c r="M976">
        <f ca="1">IF(F976="Enrolled",TODAY() - E976,"")</f>
        <v>1236</v>
      </c>
      <c r="N976" t="str">
        <f>IF(I978&gt;=3.5,"Excellent",IF(I978&gt;=3,"Good",IF(I978&gt;=2,"Average","Poor")))</f>
        <v>Good</v>
      </c>
      <c r="O976" t="e">
        <f>VLOOKUP(D976, $T$18:$U$23, 2, FALSE)</f>
        <v>#N/A</v>
      </c>
      <c r="P976" t="str">
        <f>IF(H976 &gt; 0.5 * G976, "YES", "NO")</f>
        <v>NO</v>
      </c>
      <c r="Q976">
        <f t="shared" si="1028"/>
        <v>150130</v>
      </c>
      <c r="R976" t="str">
        <f t="shared" ref="R976" si="1031">IF(MONTH(E970)&gt;=6, YEAR(E970) &amp; "-" &amp; YEAR(E970)+1, YEAR(E970)-1 &amp; "-" &amp; YEAR(E970))</f>
        <v>2021-2022</v>
      </c>
    </row>
    <row r="977" spans="1:18" hidden="1" x14ac:dyDescent="0.25">
      <c r="A977" t="s">
        <v>2325</v>
      </c>
      <c r="B977" t="s">
        <v>2326</v>
      </c>
      <c r="C977" t="s">
        <v>55</v>
      </c>
      <c r="D977" t="s">
        <v>25</v>
      </c>
      <c r="E977" s="1">
        <v>45383</v>
      </c>
      <c r="F977" t="s">
        <v>11</v>
      </c>
      <c r="G977">
        <v>10111</v>
      </c>
      <c r="H977">
        <v>3264</v>
      </c>
      <c r="I977">
        <v>3.75</v>
      </c>
      <c r="J977">
        <v>97</v>
      </c>
      <c r="Q977">
        <f t="shared" si="1028"/>
        <v>150130</v>
      </c>
    </row>
    <row r="978" spans="1:18" x14ac:dyDescent="0.25">
      <c r="A978" t="s">
        <v>2327</v>
      </c>
      <c r="B978" t="s">
        <v>2328</v>
      </c>
      <c r="C978" t="s">
        <v>55</v>
      </c>
      <c r="D978" t="s">
        <v>25</v>
      </c>
      <c r="E978" t="s">
        <v>556</v>
      </c>
      <c r="F978" t="s">
        <v>5</v>
      </c>
      <c r="G978">
        <v>14720</v>
      </c>
      <c r="H978">
        <v>6666</v>
      </c>
      <c r="I978">
        <v>3.08</v>
      </c>
      <c r="J978">
        <v>2</v>
      </c>
      <c r="K978">
        <f t="shared" ref="K978" ca="1" si="1032">IF(F978="Enrolled", TODAY()-E978, "")</f>
        <v>810</v>
      </c>
      <c r="M978">
        <f ca="1">IF(F978="Enrolled",TODAY() - E978,"")</f>
        <v>810</v>
      </c>
      <c r="N978" t="str">
        <f>IF(I980&gt;=3.5,"Excellent",IF(I980&gt;=3,"Good",IF(I980&gt;=2,"Average","Poor")))</f>
        <v>Average</v>
      </c>
      <c r="O978" t="e">
        <f>VLOOKUP(D978, $T$18:$U$23, 2, FALSE)</f>
        <v>#N/A</v>
      </c>
      <c r="P978" t="str">
        <f>IF(H978 &gt; 0.5 * G978, "YES", "NO")</f>
        <v>NO</v>
      </c>
      <c r="Q978">
        <f t="shared" si="1028"/>
        <v>150130</v>
      </c>
      <c r="R978" t="str">
        <f t="shared" ref="R978" si="1033">IF(MONTH(E972)&gt;=6, YEAR(E972) &amp; "-" &amp; YEAR(E972)+1, YEAR(E972)-1 &amp; "-" &amp; YEAR(E972))</f>
        <v>2022-2023</v>
      </c>
    </row>
    <row r="979" spans="1:18" hidden="1" x14ac:dyDescent="0.25">
      <c r="A979" t="s">
        <v>2329</v>
      </c>
      <c r="B979" t="s">
        <v>2330</v>
      </c>
      <c r="C979" t="s">
        <v>17</v>
      </c>
      <c r="D979" t="s">
        <v>65</v>
      </c>
      <c r="E979" t="s">
        <v>713</v>
      </c>
      <c r="F979" t="s">
        <v>11</v>
      </c>
      <c r="G979">
        <v>3574</v>
      </c>
      <c r="H979">
        <v>294</v>
      </c>
      <c r="I979">
        <v>2.4700000000000002</v>
      </c>
      <c r="J979">
        <v>107</v>
      </c>
      <c r="Q979">
        <f t="shared" si="1028"/>
        <v>150130</v>
      </c>
    </row>
    <row r="980" spans="1:18" x14ac:dyDescent="0.25">
      <c r="A980" t="s">
        <v>2331</v>
      </c>
      <c r="B980" t="s">
        <v>2332</v>
      </c>
      <c r="C980" t="s">
        <v>8</v>
      </c>
      <c r="D980" t="s">
        <v>9</v>
      </c>
      <c r="E980" t="s">
        <v>1451</v>
      </c>
      <c r="F980" t="s">
        <v>5</v>
      </c>
      <c r="G980">
        <v>12664</v>
      </c>
      <c r="H980">
        <v>7109</v>
      </c>
      <c r="I980">
        <v>2.2000000000000002</v>
      </c>
      <c r="J980">
        <v>91</v>
      </c>
      <c r="K980">
        <f t="shared" ref="K980:K981" ca="1" si="1034">IF(F980="Enrolled", TODAY()-E980, "")</f>
        <v>1255</v>
      </c>
      <c r="M980">
        <f t="shared" ref="M980:M981" ca="1" si="1035">IF(F980="Enrolled",TODAY() - E980,"")</f>
        <v>1255</v>
      </c>
      <c r="N980" t="str">
        <f t="shared" ref="N980:N981" si="1036">IF(I982&gt;=3.5,"Excellent",IF(I982&gt;=3,"Good",IF(I982&gt;=2,"Average","Poor")))</f>
        <v>Average</v>
      </c>
      <c r="O980" t="e">
        <f t="shared" ref="O980:O981" si="1037">VLOOKUP(D980, $T$18:$U$23, 2, FALSE)</f>
        <v>#N/A</v>
      </c>
      <c r="P980" t="str">
        <f t="shared" ref="P980:P981" si="1038">IF(H980 &gt; 0.5 * G980, "YES", "NO")</f>
        <v>YES</v>
      </c>
      <c r="Q980">
        <f t="shared" si="1028"/>
        <v>150130</v>
      </c>
      <c r="R980" t="str">
        <f t="shared" ref="R980:R981" si="1039">IF(MONTH(E974)&gt;=6, YEAR(E974) &amp; "-" &amp; YEAR(E974)+1, YEAR(E974)-1 &amp; "-" &amp; YEAR(E974))</f>
        <v>2023-2024</v>
      </c>
    </row>
    <row r="981" spans="1:18" x14ac:dyDescent="0.25">
      <c r="A981" t="s">
        <v>2333</v>
      </c>
      <c r="B981" t="s">
        <v>2334</v>
      </c>
      <c r="C981" t="s">
        <v>14</v>
      </c>
      <c r="D981" t="s">
        <v>9</v>
      </c>
      <c r="E981" t="s">
        <v>2335</v>
      </c>
      <c r="F981" t="s">
        <v>5</v>
      </c>
      <c r="G981">
        <v>9618</v>
      </c>
      <c r="H981">
        <v>6312</v>
      </c>
      <c r="I981">
        <v>2.25</v>
      </c>
      <c r="J981">
        <v>78</v>
      </c>
      <c r="K981">
        <f t="shared" ca="1" si="1034"/>
        <v>569</v>
      </c>
      <c r="M981">
        <f t="shared" ca="1" si="1035"/>
        <v>569</v>
      </c>
      <c r="N981" t="str">
        <f t="shared" si="1036"/>
        <v>Average</v>
      </c>
      <c r="O981" t="e">
        <f t="shared" si="1037"/>
        <v>#N/A</v>
      </c>
      <c r="P981" t="str">
        <f t="shared" si="1038"/>
        <v>YES</v>
      </c>
      <c r="Q981">
        <f t="shared" si="1028"/>
        <v>150130</v>
      </c>
      <c r="R981" t="str">
        <f t="shared" si="1039"/>
        <v>2023-2024</v>
      </c>
    </row>
    <row r="982" spans="1:18" hidden="1" x14ac:dyDescent="0.25">
      <c r="A982" t="s">
        <v>2336</v>
      </c>
      <c r="B982" t="s">
        <v>2337</v>
      </c>
      <c r="C982" t="s">
        <v>32</v>
      </c>
      <c r="D982" t="s">
        <v>9</v>
      </c>
      <c r="E982" s="1">
        <v>45388</v>
      </c>
      <c r="F982" t="s">
        <v>11</v>
      </c>
      <c r="G982">
        <v>9706</v>
      </c>
      <c r="H982">
        <v>5288</v>
      </c>
      <c r="I982">
        <v>2.27</v>
      </c>
      <c r="J982">
        <v>6</v>
      </c>
      <c r="Q982">
        <f t="shared" si="1028"/>
        <v>150130</v>
      </c>
    </row>
    <row r="983" spans="1:18" x14ac:dyDescent="0.25">
      <c r="A983" t="s">
        <v>2338</v>
      </c>
      <c r="B983" t="s">
        <v>2339</v>
      </c>
      <c r="C983" t="s">
        <v>2</v>
      </c>
      <c r="D983" t="s">
        <v>65</v>
      </c>
      <c r="E983" t="s">
        <v>657</v>
      </c>
      <c r="F983" t="s">
        <v>5</v>
      </c>
      <c r="G983">
        <v>8994</v>
      </c>
      <c r="H983">
        <v>9832</v>
      </c>
      <c r="I983">
        <v>2.46</v>
      </c>
      <c r="J983">
        <v>107</v>
      </c>
      <c r="K983">
        <f t="shared" ref="K983" ca="1" si="1040">IF(F983="Enrolled", TODAY()-E983, "")</f>
        <v>1382</v>
      </c>
      <c r="M983">
        <f ca="1">IF(F983="Enrolled",TODAY() - E983,"")</f>
        <v>1382</v>
      </c>
      <c r="N983" t="str">
        <f>IF(I985&gt;=3.5,"Excellent",IF(I985&gt;=3,"Good",IF(I985&gt;=2,"Average","Poor")))</f>
        <v>Excellent</v>
      </c>
      <c r="O983" t="e">
        <f>VLOOKUP(D983, $T$18:$U$23, 2, FALSE)</f>
        <v>#N/A</v>
      </c>
      <c r="P983" t="str">
        <f>IF(H983 &gt; 0.5 * G983, "YES", "NO")</f>
        <v>YES</v>
      </c>
      <c r="Q983">
        <f t="shared" si="1028"/>
        <v>140424</v>
      </c>
      <c r="R983" t="str">
        <f t="shared" ref="R983" si="1041">IF(MONTH(E977)&gt;=6, YEAR(E977) &amp; "-" &amp; YEAR(E977)+1, YEAR(E977)-1 &amp; "-" &amp; YEAR(E977))</f>
        <v>2023-2024</v>
      </c>
    </row>
    <row r="984" spans="1:18" hidden="1" x14ac:dyDescent="0.25">
      <c r="A984" t="s">
        <v>2340</v>
      </c>
      <c r="B984" t="s">
        <v>2341</v>
      </c>
      <c r="C984" t="s">
        <v>2</v>
      </c>
      <c r="D984" t="s">
        <v>25</v>
      </c>
      <c r="E984" t="s">
        <v>1746</v>
      </c>
      <c r="F984" t="s">
        <v>11</v>
      </c>
      <c r="G984">
        <v>6439</v>
      </c>
      <c r="H984">
        <v>6901</v>
      </c>
      <c r="I984">
        <v>3.1</v>
      </c>
      <c r="J984">
        <v>80</v>
      </c>
      <c r="Q984">
        <f t="shared" si="1028"/>
        <v>140424</v>
      </c>
    </row>
    <row r="985" spans="1:18" x14ac:dyDescent="0.25">
      <c r="A985" t="s">
        <v>2342</v>
      </c>
      <c r="B985" t="s">
        <v>2343</v>
      </c>
      <c r="C985" t="s">
        <v>14</v>
      </c>
      <c r="D985" t="s">
        <v>3</v>
      </c>
      <c r="E985" s="1">
        <v>45324</v>
      </c>
      <c r="F985" t="s">
        <v>5</v>
      </c>
      <c r="G985">
        <v>6534</v>
      </c>
      <c r="H985">
        <v>9500</v>
      </c>
      <c r="I985">
        <v>3.61</v>
      </c>
      <c r="J985">
        <v>111</v>
      </c>
      <c r="K985">
        <f t="shared" ref="K985:K986" ca="1" si="1042">IF(F985="Enrolled", TODAY()-E985, "")</f>
        <v>643</v>
      </c>
      <c r="M985">
        <f t="shared" ref="M985:M986" ca="1" si="1043">IF(F985="Enrolled",TODAY() - E985,"")</f>
        <v>643</v>
      </c>
      <c r="N985" t="str">
        <f t="shared" ref="N985:N986" si="1044">IF(I987&gt;=3.5,"Excellent",IF(I987&gt;=3,"Good",IF(I987&gt;=2,"Average","Poor")))</f>
        <v>Average</v>
      </c>
      <c r="O985" t="e">
        <f t="shared" ref="O985:O986" si="1045">VLOOKUP(D985, $T$18:$U$23, 2, FALSE)</f>
        <v>#N/A</v>
      </c>
      <c r="P985" t="str">
        <f t="shared" ref="P985:P986" si="1046">IF(H985 &gt; 0.5 * G985, "YES", "NO")</f>
        <v>YES</v>
      </c>
      <c r="Q985">
        <f t="shared" si="1028"/>
        <v>140424</v>
      </c>
      <c r="R985" t="str">
        <f t="shared" ref="R985:R986" si="1047">IF(MONTH(E979)&gt;=6, YEAR(E979) &amp; "-" &amp; YEAR(E979)+1, YEAR(E979)-1 &amp; "-" &amp; YEAR(E979))</f>
        <v>2023-2024</v>
      </c>
    </row>
    <row r="986" spans="1:18" x14ac:dyDescent="0.25">
      <c r="A986" t="s">
        <v>2344</v>
      </c>
      <c r="B986" t="s">
        <v>2345</v>
      </c>
      <c r="C986" t="s">
        <v>58</v>
      </c>
      <c r="D986" t="s">
        <v>3</v>
      </c>
      <c r="E986" s="1">
        <v>44601</v>
      </c>
      <c r="F986" t="s">
        <v>5</v>
      </c>
      <c r="G986">
        <v>7590</v>
      </c>
      <c r="H986">
        <v>408</v>
      </c>
      <c r="I986">
        <v>3.97</v>
      </c>
      <c r="J986">
        <v>46</v>
      </c>
      <c r="K986">
        <f t="shared" ca="1" si="1042"/>
        <v>1366</v>
      </c>
      <c r="M986">
        <f t="shared" ca="1" si="1043"/>
        <v>1366</v>
      </c>
      <c r="N986" t="str">
        <f t="shared" si="1044"/>
        <v>Excellent</v>
      </c>
      <c r="O986" t="e">
        <f t="shared" si="1045"/>
        <v>#N/A</v>
      </c>
      <c r="P986" t="str">
        <f t="shared" si="1046"/>
        <v>NO</v>
      </c>
      <c r="Q986">
        <f t="shared" si="1028"/>
        <v>140424</v>
      </c>
      <c r="R986" t="str">
        <f t="shared" si="1047"/>
        <v>2021-2022</v>
      </c>
    </row>
    <row r="987" spans="1:18" hidden="1" x14ac:dyDescent="0.25">
      <c r="A987" t="s">
        <v>2346</v>
      </c>
      <c r="B987" t="s">
        <v>2347</v>
      </c>
      <c r="C987" t="s">
        <v>14</v>
      </c>
      <c r="D987" t="s">
        <v>25</v>
      </c>
      <c r="E987" t="s">
        <v>1746</v>
      </c>
      <c r="F987" t="s">
        <v>36</v>
      </c>
      <c r="G987">
        <v>7475</v>
      </c>
      <c r="H987">
        <v>7710</v>
      </c>
      <c r="I987">
        <v>2.4500000000000002</v>
      </c>
      <c r="J987">
        <v>62</v>
      </c>
      <c r="Q987">
        <f t="shared" si="1028"/>
        <v>140424</v>
      </c>
    </row>
    <row r="988" spans="1:18" x14ac:dyDescent="0.25">
      <c r="A988" t="s">
        <v>2348</v>
      </c>
      <c r="B988" t="s">
        <v>2349</v>
      </c>
      <c r="C988" t="s">
        <v>2</v>
      </c>
      <c r="D988" t="s">
        <v>25</v>
      </c>
      <c r="E988" s="1">
        <v>45209</v>
      </c>
      <c r="F988" t="s">
        <v>5</v>
      </c>
      <c r="G988">
        <v>3693</v>
      </c>
      <c r="H988">
        <v>4367</v>
      </c>
      <c r="I988">
        <v>3.65</v>
      </c>
      <c r="J988">
        <v>28</v>
      </c>
      <c r="K988">
        <f t="shared" ref="K988:K996" ca="1" si="1048">IF(F988="Enrolled", TODAY()-E988, "")</f>
        <v>758</v>
      </c>
      <c r="M988">
        <f t="shared" ref="M988:M996" ca="1" si="1049">IF(F988="Enrolled",TODAY() - E988,"")</f>
        <v>758</v>
      </c>
      <c r="N988" t="str">
        <f t="shared" ref="N988:N996" si="1050">IF(I990&gt;=3.5,"Excellent",IF(I990&gt;=3,"Good",IF(I990&gt;=2,"Average","Poor")))</f>
        <v>Good</v>
      </c>
      <c r="O988" t="e">
        <f t="shared" ref="O988:O996" si="1051">VLOOKUP(D988, $T$18:$U$23, 2, FALSE)</f>
        <v>#N/A</v>
      </c>
      <c r="P988" t="str">
        <f t="shared" ref="P988:P996" si="1052">IF(H988 &gt; 0.5 * G988, "YES", "NO")</f>
        <v>YES</v>
      </c>
      <c r="Q988">
        <f t="shared" si="1028"/>
        <v>140424</v>
      </c>
      <c r="R988" t="str">
        <f t="shared" ref="R988:R996" si="1053">IF(MONTH(E982)&gt;=6, YEAR(E982) &amp; "-" &amp; YEAR(E982)+1, YEAR(E982)-1 &amp; "-" &amp; YEAR(E982))</f>
        <v>2023-2024</v>
      </c>
    </row>
    <row r="989" spans="1:18" x14ac:dyDescent="0.25">
      <c r="A989" t="s">
        <v>2350</v>
      </c>
      <c r="B989" t="s">
        <v>2351</v>
      </c>
      <c r="C989" t="s">
        <v>55</v>
      </c>
      <c r="D989" t="s">
        <v>25</v>
      </c>
      <c r="E989" t="s">
        <v>2335</v>
      </c>
      <c r="F989" t="s">
        <v>5</v>
      </c>
      <c r="G989">
        <v>11396</v>
      </c>
      <c r="H989">
        <v>8283</v>
      </c>
      <c r="I989">
        <v>2.2200000000000002</v>
      </c>
      <c r="J989">
        <v>98</v>
      </c>
      <c r="K989">
        <f t="shared" ca="1" si="1048"/>
        <v>569</v>
      </c>
      <c r="M989">
        <f t="shared" ca="1" si="1049"/>
        <v>569</v>
      </c>
      <c r="N989" t="str">
        <f t="shared" si="1050"/>
        <v>Good</v>
      </c>
      <c r="O989" t="e">
        <f t="shared" si="1051"/>
        <v>#N/A</v>
      </c>
      <c r="P989" t="str">
        <f t="shared" si="1052"/>
        <v>YES</v>
      </c>
      <c r="Q989">
        <f t="shared" si="1028"/>
        <v>140424</v>
      </c>
      <c r="R989" t="str">
        <f t="shared" si="1053"/>
        <v>2021-2022</v>
      </c>
    </row>
    <row r="990" spans="1:18" x14ac:dyDescent="0.25">
      <c r="A990" t="s">
        <v>2352</v>
      </c>
      <c r="B990" t="s">
        <v>2353</v>
      </c>
      <c r="C990" t="s">
        <v>58</v>
      </c>
      <c r="D990" t="s">
        <v>3</v>
      </c>
      <c r="E990" t="s">
        <v>1726</v>
      </c>
      <c r="F990" t="s">
        <v>5</v>
      </c>
      <c r="G990">
        <v>8610</v>
      </c>
      <c r="H990">
        <v>2022</v>
      </c>
      <c r="I990">
        <v>3.47</v>
      </c>
      <c r="J990">
        <v>16</v>
      </c>
      <c r="K990">
        <f t="shared" ca="1" si="1048"/>
        <v>1046</v>
      </c>
      <c r="M990">
        <f t="shared" ca="1" si="1049"/>
        <v>1046</v>
      </c>
      <c r="N990" t="str">
        <f t="shared" si="1050"/>
        <v>Good</v>
      </c>
      <c r="O990" t="e">
        <f t="shared" si="1051"/>
        <v>#N/A</v>
      </c>
      <c r="P990" t="str">
        <f t="shared" si="1052"/>
        <v>NO</v>
      </c>
      <c r="Q990">
        <f t="shared" si="1028"/>
        <v>140424</v>
      </c>
      <c r="R990" t="str">
        <f t="shared" si="1053"/>
        <v>2022-2023</v>
      </c>
    </row>
    <row r="991" spans="1:18" x14ac:dyDescent="0.25">
      <c r="A991" t="s">
        <v>2354</v>
      </c>
      <c r="B991" t="s">
        <v>2355</v>
      </c>
      <c r="C991" t="s">
        <v>55</v>
      </c>
      <c r="D991" t="s">
        <v>3</v>
      </c>
      <c r="E991" s="1">
        <v>45209</v>
      </c>
      <c r="F991" t="s">
        <v>5</v>
      </c>
      <c r="G991">
        <v>3027</v>
      </c>
      <c r="H991">
        <v>8764</v>
      </c>
      <c r="I991">
        <v>3.34</v>
      </c>
      <c r="J991">
        <v>116</v>
      </c>
      <c r="K991">
        <f t="shared" ca="1" si="1048"/>
        <v>758</v>
      </c>
      <c r="M991">
        <f t="shared" ca="1" si="1049"/>
        <v>758</v>
      </c>
      <c r="N991" t="str">
        <f t="shared" si="1050"/>
        <v>Average</v>
      </c>
      <c r="O991" t="e">
        <f t="shared" si="1051"/>
        <v>#N/A</v>
      </c>
      <c r="P991" t="str">
        <f t="shared" si="1052"/>
        <v>YES</v>
      </c>
      <c r="Q991">
        <f t="shared" si="1028"/>
        <v>140424</v>
      </c>
      <c r="R991" t="str">
        <f t="shared" si="1053"/>
        <v>2023-2024</v>
      </c>
    </row>
    <row r="992" spans="1:18" x14ac:dyDescent="0.25">
      <c r="A992" t="s">
        <v>2356</v>
      </c>
      <c r="B992" t="s">
        <v>2357</v>
      </c>
      <c r="C992" t="s">
        <v>21</v>
      </c>
      <c r="D992" t="s">
        <v>3</v>
      </c>
      <c r="E992" t="s">
        <v>1356</v>
      </c>
      <c r="F992" t="s">
        <v>5</v>
      </c>
      <c r="G992">
        <v>4944</v>
      </c>
      <c r="H992">
        <v>8402</v>
      </c>
      <c r="I992">
        <v>3.07</v>
      </c>
      <c r="J992">
        <v>79</v>
      </c>
      <c r="K992">
        <f t="shared" ca="1" si="1048"/>
        <v>890</v>
      </c>
      <c r="M992">
        <f t="shared" ca="1" si="1049"/>
        <v>890</v>
      </c>
      <c r="N992" t="str">
        <f t="shared" si="1050"/>
        <v>Excellent</v>
      </c>
      <c r="O992" t="e">
        <f t="shared" si="1051"/>
        <v>#N/A</v>
      </c>
      <c r="P992" t="str">
        <f t="shared" si="1052"/>
        <v>YES</v>
      </c>
      <c r="Q992">
        <f t="shared" si="1028"/>
        <v>140424</v>
      </c>
      <c r="R992" t="str">
        <f t="shared" si="1053"/>
        <v>2021-2022</v>
      </c>
    </row>
    <row r="993" spans="1:18" x14ac:dyDescent="0.25">
      <c r="A993" t="s">
        <v>2358</v>
      </c>
      <c r="B993" t="s">
        <v>2359</v>
      </c>
      <c r="C993" t="s">
        <v>17</v>
      </c>
      <c r="D993" t="s">
        <v>9</v>
      </c>
      <c r="E993" s="1">
        <v>45476</v>
      </c>
      <c r="F993" t="s">
        <v>5</v>
      </c>
      <c r="G993">
        <v>9032</v>
      </c>
      <c r="H993">
        <v>7939</v>
      </c>
      <c r="I993">
        <v>2.56</v>
      </c>
      <c r="J993">
        <v>8</v>
      </c>
      <c r="K993">
        <f t="shared" ca="1" si="1048"/>
        <v>491</v>
      </c>
      <c r="M993">
        <f t="shared" ca="1" si="1049"/>
        <v>491</v>
      </c>
      <c r="N993" t="str">
        <f t="shared" si="1050"/>
        <v>Good</v>
      </c>
      <c r="O993" t="e">
        <f t="shared" si="1051"/>
        <v>#N/A</v>
      </c>
      <c r="P993" t="str">
        <f t="shared" si="1052"/>
        <v>YES</v>
      </c>
      <c r="Q993">
        <f t="shared" si="1028"/>
        <v>140424</v>
      </c>
      <c r="R993" t="str">
        <f t="shared" si="1053"/>
        <v>2022-2023</v>
      </c>
    </row>
    <row r="994" spans="1:18" x14ac:dyDescent="0.25">
      <c r="A994" t="s">
        <v>2360</v>
      </c>
      <c r="B994" t="s">
        <v>2361</v>
      </c>
      <c r="C994" t="s">
        <v>17</v>
      </c>
      <c r="D994" t="s">
        <v>65</v>
      </c>
      <c r="E994" t="s">
        <v>174</v>
      </c>
      <c r="F994" t="s">
        <v>5</v>
      </c>
      <c r="G994">
        <v>10427</v>
      </c>
      <c r="H994">
        <v>7298</v>
      </c>
      <c r="I994">
        <v>3.54</v>
      </c>
      <c r="J994">
        <v>119</v>
      </c>
      <c r="K994">
        <f t="shared" ca="1" si="1048"/>
        <v>711</v>
      </c>
      <c r="M994">
        <f t="shared" ca="1" si="1049"/>
        <v>711</v>
      </c>
      <c r="N994" t="str">
        <f t="shared" si="1050"/>
        <v>Good</v>
      </c>
      <c r="O994" t="e">
        <f t="shared" si="1051"/>
        <v>#N/A</v>
      </c>
      <c r="P994" t="str">
        <f t="shared" si="1052"/>
        <v>YES</v>
      </c>
      <c r="Q994">
        <f t="shared" si="1028"/>
        <v>140424</v>
      </c>
      <c r="R994" t="str">
        <f t="shared" si="1053"/>
        <v>2023-2024</v>
      </c>
    </row>
    <row r="995" spans="1:18" x14ac:dyDescent="0.25">
      <c r="A995" t="s">
        <v>2362</v>
      </c>
      <c r="B995" t="s">
        <v>2363</v>
      </c>
      <c r="C995" t="s">
        <v>32</v>
      </c>
      <c r="D995" t="s">
        <v>25</v>
      </c>
      <c r="E995" s="1">
        <v>45539</v>
      </c>
      <c r="F995" t="s">
        <v>5</v>
      </c>
      <c r="G995">
        <v>6051</v>
      </c>
      <c r="H995">
        <v>7108</v>
      </c>
      <c r="I995">
        <v>3.2</v>
      </c>
      <c r="J995">
        <v>99</v>
      </c>
      <c r="K995">
        <f t="shared" ca="1" si="1048"/>
        <v>428</v>
      </c>
      <c r="M995">
        <f t="shared" ca="1" si="1049"/>
        <v>428</v>
      </c>
      <c r="N995" t="str">
        <f t="shared" si="1050"/>
        <v>Good</v>
      </c>
      <c r="O995" t="e">
        <f t="shared" si="1051"/>
        <v>#N/A</v>
      </c>
      <c r="P995" t="str">
        <f t="shared" si="1052"/>
        <v>YES</v>
      </c>
      <c r="Q995">
        <f t="shared" si="1028"/>
        <v>140424</v>
      </c>
      <c r="R995" t="str">
        <f t="shared" si="1053"/>
        <v>2023-2024</v>
      </c>
    </row>
    <row r="996" spans="1:18" x14ac:dyDescent="0.25">
      <c r="A996" t="s">
        <v>2364</v>
      </c>
      <c r="B996" t="s">
        <v>2365</v>
      </c>
      <c r="C996" t="s">
        <v>2</v>
      </c>
      <c r="D996" t="s">
        <v>65</v>
      </c>
      <c r="E996" s="1">
        <v>44969</v>
      </c>
      <c r="F996" t="s">
        <v>5</v>
      </c>
      <c r="G996">
        <v>5499</v>
      </c>
      <c r="H996">
        <v>8616</v>
      </c>
      <c r="I996">
        <v>3.07</v>
      </c>
      <c r="J996">
        <v>23</v>
      </c>
      <c r="K996">
        <f t="shared" ca="1" si="1048"/>
        <v>998</v>
      </c>
      <c r="M996">
        <f t="shared" ca="1" si="1049"/>
        <v>998</v>
      </c>
      <c r="N996" t="str">
        <f t="shared" si="1050"/>
        <v>Average</v>
      </c>
      <c r="O996" t="e">
        <f t="shared" si="1051"/>
        <v>#N/A</v>
      </c>
      <c r="P996" t="str">
        <f t="shared" si="1052"/>
        <v>YES</v>
      </c>
      <c r="Q996">
        <f t="shared" si="1028"/>
        <v>140424</v>
      </c>
      <c r="R996" t="str">
        <f t="shared" si="1053"/>
        <v>2022-2023</v>
      </c>
    </row>
    <row r="997" spans="1:18" hidden="1" x14ac:dyDescent="0.25">
      <c r="A997" t="s">
        <v>2366</v>
      </c>
      <c r="B997" t="s">
        <v>2367</v>
      </c>
      <c r="C997" t="s">
        <v>17</v>
      </c>
      <c r="D997" t="s">
        <v>3</v>
      </c>
      <c r="E997" s="1">
        <v>45566</v>
      </c>
      <c r="F997" t="s">
        <v>11</v>
      </c>
      <c r="G997">
        <v>5005</v>
      </c>
      <c r="H997">
        <v>9438</v>
      </c>
      <c r="I997">
        <v>3.13</v>
      </c>
      <c r="J997">
        <v>24</v>
      </c>
      <c r="Q997">
        <f t="shared" si="1028"/>
        <v>140424</v>
      </c>
    </row>
    <row r="998" spans="1:18" x14ac:dyDescent="0.25">
      <c r="A998" t="s">
        <v>2368</v>
      </c>
      <c r="B998" t="s">
        <v>2369</v>
      </c>
      <c r="C998" t="s">
        <v>55</v>
      </c>
      <c r="D998" t="s">
        <v>65</v>
      </c>
      <c r="E998" t="s">
        <v>2370</v>
      </c>
      <c r="F998" t="s">
        <v>5</v>
      </c>
      <c r="G998">
        <v>11045</v>
      </c>
      <c r="H998">
        <v>9251</v>
      </c>
      <c r="I998">
        <v>2.93</v>
      </c>
      <c r="J998">
        <v>87</v>
      </c>
      <c r="K998">
        <f t="shared" ref="K998" ca="1" si="1054">IF(F998="Enrolled", TODAY()-E998, "")</f>
        <v>1050</v>
      </c>
      <c r="M998">
        <f ca="1">IF(F998="Enrolled",TODAY() - E998,"")</f>
        <v>1050</v>
      </c>
      <c r="N998" t="str">
        <f>IF(I1000&gt;=3.5,"Excellent",IF(I1000&gt;=3,"Good",IF(I1000&gt;=2,"Average","Poor")))</f>
        <v>Excellent</v>
      </c>
      <c r="O998" t="e">
        <f>VLOOKUP(D998, $T$18:$U$23, 2, FALSE)</f>
        <v>#N/A</v>
      </c>
      <c r="P998" t="str">
        <f>IF(H998 &gt; 0.5 * G998, "YES", "NO")</f>
        <v>YES</v>
      </c>
      <c r="Q998">
        <f t="shared" si="1028"/>
        <v>140424</v>
      </c>
      <c r="R998" t="str">
        <f t="shared" ref="R998" si="1055">IF(MONTH(E992)&gt;=6, YEAR(E992) &amp; "-" &amp; YEAR(E992)+1, YEAR(E992)-1 &amp; "-" &amp; YEAR(E992))</f>
        <v>2022-2023</v>
      </c>
    </row>
    <row r="999" spans="1:18" hidden="1" x14ac:dyDescent="0.25">
      <c r="A999" t="s">
        <v>2371</v>
      </c>
      <c r="B999" t="s">
        <v>2372</v>
      </c>
      <c r="C999" t="s">
        <v>55</v>
      </c>
      <c r="D999" t="s">
        <v>9</v>
      </c>
      <c r="E999" s="1">
        <v>44806</v>
      </c>
      <c r="F999" t="s">
        <v>11</v>
      </c>
      <c r="G999">
        <v>12297</v>
      </c>
      <c r="H999">
        <v>4680</v>
      </c>
      <c r="I999">
        <v>2.02</v>
      </c>
      <c r="J999">
        <v>58</v>
      </c>
      <c r="Q999">
        <f t="shared" si="1028"/>
        <v>140424</v>
      </c>
    </row>
    <row r="1000" spans="1:18" x14ac:dyDescent="0.25">
      <c r="A1000" t="s">
        <v>2373</v>
      </c>
      <c r="B1000" t="s">
        <v>2374</v>
      </c>
      <c r="C1000" t="s">
        <v>8</v>
      </c>
      <c r="D1000" t="s">
        <v>9</v>
      </c>
      <c r="E1000" s="1">
        <v>44723</v>
      </c>
      <c r="F1000" t="s">
        <v>5</v>
      </c>
      <c r="G1000">
        <v>4317</v>
      </c>
      <c r="H1000">
        <v>1427</v>
      </c>
      <c r="I1000">
        <v>3.55</v>
      </c>
      <c r="J1000">
        <v>76</v>
      </c>
      <c r="K1000">
        <f t="shared" ref="K1000" ca="1" si="1056">IF(F1000="Enrolled", TODAY()-E1000, "")</f>
        <v>1244</v>
      </c>
      <c r="M1000">
        <f ca="1">IF(F1000="Enrolled",TODAY() - E1000,"")</f>
        <v>1244</v>
      </c>
      <c r="N1000" t="str">
        <f>IF(I1002&gt;=3.5,"Excellent",IF(I1002&gt;=3,"Good",IF(I1002&gt;=2,"Average","Poor")))</f>
        <v>Average</v>
      </c>
      <c r="O1000" t="e">
        <f>VLOOKUP(D1000, $T$18:$U$23, 2, FALSE)</f>
        <v>#N/A</v>
      </c>
      <c r="P1000" t="str">
        <f>IF(H1000 &gt; 0.5 * G1000, "YES", "NO")</f>
        <v>NO</v>
      </c>
      <c r="Q1000">
        <f t="shared" si="1028"/>
        <v>128127</v>
      </c>
      <c r="R1000" t="str">
        <f t="shared" ref="R1000" si="1057">IF(MONTH(E994)&gt;=6, YEAR(E994) &amp; "-" &amp; YEAR(E994)+1, YEAR(E994)-1 &amp; "-" &amp; YEAR(E994))</f>
        <v>2023-2024</v>
      </c>
    </row>
    <row r="1001" spans="1:18" hidden="1" x14ac:dyDescent="0.25">
      <c r="A1001" t="s">
        <v>2375</v>
      </c>
      <c r="B1001" t="s">
        <v>2376</v>
      </c>
      <c r="C1001" t="s">
        <v>2</v>
      </c>
      <c r="D1001" t="s">
        <v>65</v>
      </c>
      <c r="E1001" s="1">
        <v>44745</v>
      </c>
      <c r="F1001" t="s">
        <v>11</v>
      </c>
      <c r="G1001">
        <v>14569</v>
      </c>
      <c r="H1001">
        <v>9058</v>
      </c>
      <c r="I1001">
        <v>2.4</v>
      </c>
      <c r="J1001">
        <v>29</v>
      </c>
      <c r="Q1001">
        <f t="shared" si="1028"/>
        <v>128127</v>
      </c>
    </row>
    <row r="1002" spans="1:18" x14ac:dyDescent="0.25">
      <c r="A1002" t="s">
        <v>2377</v>
      </c>
      <c r="B1002" t="s">
        <v>2378</v>
      </c>
      <c r="C1002" t="s">
        <v>14</v>
      </c>
      <c r="D1002" t="s">
        <v>3</v>
      </c>
      <c r="E1002" t="s">
        <v>988</v>
      </c>
      <c r="F1002" t="s">
        <v>5</v>
      </c>
      <c r="G1002">
        <v>12134</v>
      </c>
      <c r="H1002">
        <v>3119</v>
      </c>
      <c r="I1002">
        <v>2.91</v>
      </c>
      <c r="J1002">
        <v>4</v>
      </c>
      <c r="K1002">
        <f t="shared" ref="K1002" ca="1" si="1058">IF(F1002="Enrolled", TODAY()-E1002, "")</f>
        <v>1049</v>
      </c>
      <c r="M1002">
        <f ca="1">IF(F1002="Enrolled",TODAY() - E1002,"")</f>
        <v>1049</v>
      </c>
      <c r="N1002" t="str">
        <f>IF(I1004&gt;=3.5,"Excellent",IF(I1004&gt;=3,"Good",IF(I1004&gt;=2,"Average","Poor")))</f>
        <v>Average</v>
      </c>
      <c r="O1002" t="e">
        <f>VLOOKUP(D1002, $T$18:$U$23, 2, FALSE)</f>
        <v>#N/A</v>
      </c>
      <c r="P1002" t="str">
        <f>IF(H1002 &gt; 0.5 * G1002, "YES", "NO")</f>
        <v>NO</v>
      </c>
      <c r="Q1002">
        <f t="shared" si="1028"/>
        <v>128127</v>
      </c>
      <c r="R1002" t="str">
        <f t="shared" ref="R1002" si="1059">IF(MONTH(E996)&gt;=6, YEAR(E996) &amp; "-" &amp; YEAR(E996)+1, YEAR(E996)-1 &amp; "-" &amp; YEAR(E996))</f>
        <v>2022-2023</v>
      </c>
    </row>
    <row r="1003" spans="1:18" hidden="1" x14ac:dyDescent="0.25">
      <c r="A1003" t="s">
        <v>2379</v>
      </c>
      <c r="B1003" t="s">
        <v>2380</v>
      </c>
      <c r="C1003" t="s">
        <v>17</v>
      </c>
      <c r="D1003" t="s">
        <v>65</v>
      </c>
      <c r="E1003" s="1">
        <v>44958</v>
      </c>
      <c r="F1003" t="s">
        <v>36</v>
      </c>
      <c r="G1003">
        <v>11342</v>
      </c>
      <c r="H1003">
        <v>152</v>
      </c>
      <c r="I1003">
        <v>3.13</v>
      </c>
      <c r="J1003">
        <v>0</v>
      </c>
      <c r="Q1003">
        <f t="shared" si="1028"/>
        <v>128127</v>
      </c>
    </row>
    <row r="1004" spans="1:18" x14ac:dyDescent="0.25">
      <c r="A1004" t="s">
        <v>2381</v>
      </c>
      <c r="B1004" t="s">
        <v>2382</v>
      </c>
      <c r="C1004" t="s">
        <v>21</v>
      </c>
      <c r="D1004" t="s">
        <v>3</v>
      </c>
      <c r="E1004" s="1">
        <v>44904</v>
      </c>
      <c r="F1004" t="s">
        <v>5</v>
      </c>
      <c r="G1004">
        <v>2607</v>
      </c>
      <c r="H1004">
        <v>2463</v>
      </c>
      <c r="I1004">
        <v>2.52</v>
      </c>
      <c r="J1004">
        <v>17</v>
      </c>
      <c r="K1004">
        <f t="shared" ref="K1004" ca="1" si="1060">IF(F1004="Enrolled", TODAY()-E1004, "")</f>
        <v>1063</v>
      </c>
      <c r="M1004">
        <f ca="1">IF(F1004="Enrolled",TODAY() - E1004,"")</f>
        <v>1063</v>
      </c>
      <c r="N1004" t="str">
        <f>IF(I1006&gt;=3.5,"Excellent",IF(I1006&gt;=3,"Good",IF(I1006&gt;=2,"Average","Poor")))</f>
        <v>Excellent</v>
      </c>
      <c r="O1004" t="e">
        <f>VLOOKUP(D1004, $T$18:$U$23, 2, FALSE)</f>
        <v>#N/A</v>
      </c>
      <c r="P1004" t="str">
        <f>IF(H1004 &gt; 0.5 * G1004, "YES", "NO")</f>
        <v>YES</v>
      </c>
      <c r="Q1004">
        <f t="shared" si="1028"/>
        <v>128127</v>
      </c>
      <c r="R1004" t="str">
        <f t="shared" ref="R1004" si="1061">IF(MONTH(E998)&gt;=6, YEAR(E998) &amp; "-" &amp; YEAR(E998)+1, YEAR(E998)-1 &amp; "-" &amp; YEAR(E998))</f>
        <v>2022-2023</v>
      </c>
    </row>
    <row r="1005" spans="1:18" hidden="1" x14ac:dyDescent="0.25">
      <c r="A1005" t="s">
        <v>2383</v>
      </c>
      <c r="B1005" t="s">
        <v>2384</v>
      </c>
      <c r="C1005" t="s">
        <v>8</v>
      </c>
      <c r="D1005" t="s">
        <v>3</v>
      </c>
      <c r="E1005" t="s">
        <v>2385</v>
      </c>
      <c r="F1005" t="s">
        <v>36</v>
      </c>
      <c r="G1005">
        <v>5479</v>
      </c>
      <c r="H1005">
        <v>9211</v>
      </c>
      <c r="I1005">
        <v>2.78</v>
      </c>
      <c r="J1005">
        <v>8</v>
      </c>
      <c r="Q1005">
        <f t="shared" si="1028"/>
        <v>128127</v>
      </c>
    </row>
    <row r="1006" spans="1:18" hidden="1" x14ac:dyDescent="0.25">
      <c r="A1006" t="s">
        <v>2386</v>
      </c>
      <c r="B1006" t="s">
        <v>2387</v>
      </c>
      <c r="C1006" t="s">
        <v>58</v>
      </c>
      <c r="D1006" t="s">
        <v>3</v>
      </c>
      <c r="E1006" s="1">
        <v>44657</v>
      </c>
      <c r="F1006" t="s">
        <v>11</v>
      </c>
      <c r="G1006">
        <v>6615</v>
      </c>
      <c r="H1006">
        <v>1700</v>
      </c>
      <c r="I1006">
        <v>3.92</v>
      </c>
      <c r="J1006">
        <v>96</v>
      </c>
      <c r="Q1006">
        <f t="shared" si="1028"/>
        <v>128127</v>
      </c>
    </row>
    <row r="1007" spans="1:18" x14ac:dyDescent="0.25">
      <c r="A1007" t="s">
        <v>2388</v>
      </c>
      <c r="B1007" t="s">
        <v>2389</v>
      </c>
      <c r="C1007" t="s">
        <v>2</v>
      </c>
      <c r="D1007" t="s">
        <v>9</v>
      </c>
      <c r="E1007" t="s">
        <v>398</v>
      </c>
      <c r="F1007" t="s">
        <v>5</v>
      </c>
      <c r="G1007">
        <v>4176</v>
      </c>
      <c r="H1007">
        <v>9643</v>
      </c>
      <c r="I1007">
        <v>3.3</v>
      </c>
      <c r="J1007">
        <v>12</v>
      </c>
      <c r="K1007">
        <f t="shared" ref="K1007" ca="1" si="1062">IF(F1007="Enrolled", TODAY()-E1007, "")</f>
        <v>803</v>
      </c>
      <c r="M1007">
        <f ca="1">IF(F1007="Enrolled",TODAY() - E1007,"")</f>
        <v>803</v>
      </c>
      <c r="N1007" t="str">
        <f>IF(I1009&gt;=3.5,"Excellent",IF(I1009&gt;=3,"Good",IF(I1009&gt;=2,"Average","Poor")))</f>
        <v>Average</v>
      </c>
      <c r="O1007" t="e">
        <f>VLOOKUP(D1007, $T$18:$U$23, 2, FALSE)</f>
        <v>#N/A</v>
      </c>
      <c r="P1007" t="str">
        <f>IF(H1007 &gt; 0.5 * G1007, "YES", "NO")</f>
        <v>YES</v>
      </c>
      <c r="Q1007">
        <f t="shared" si="1028"/>
        <v>128127</v>
      </c>
      <c r="R1007" t="str">
        <f t="shared" ref="R1007" si="1063">IF(MONTH(E1001)&gt;=6, YEAR(E1001) &amp; "-" &amp; YEAR(E1001)+1, YEAR(E1001)-1 &amp; "-" &amp; YEAR(E1001))</f>
        <v>2022-2023</v>
      </c>
    </row>
    <row r="1008" spans="1:18" hidden="1" x14ac:dyDescent="0.25">
      <c r="A1008" t="s">
        <v>2390</v>
      </c>
      <c r="B1008" t="s">
        <v>2391</v>
      </c>
      <c r="C1008" t="s">
        <v>32</v>
      </c>
      <c r="D1008" t="s">
        <v>9</v>
      </c>
      <c r="E1008" s="1">
        <v>45417</v>
      </c>
      <c r="F1008" t="s">
        <v>11</v>
      </c>
      <c r="G1008">
        <v>3536</v>
      </c>
      <c r="H1008">
        <v>5079</v>
      </c>
      <c r="I1008">
        <v>2.46</v>
      </c>
      <c r="J1008">
        <v>108</v>
      </c>
      <c r="Q1008">
        <f t="shared" si="1028"/>
        <v>128127</v>
      </c>
    </row>
    <row r="1009" spans="1:18" x14ac:dyDescent="0.25">
      <c r="A1009" t="s">
        <v>2392</v>
      </c>
      <c r="B1009" t="s">
        <v>2393</v>
      </c>
      <c r="C1009" t="s">
        <v>32</v>
      </c>
      <c r="D1009" t="s">
        <v>3</v>
      </c>
      <c r="E1009" t="s">
        <v>1677</v>
      </c>
      <c r="F1009" t="s">
        <v>5</v>
      </c>
      <c r="G1009">
        <v>9886</v>
      </c>
      <c r="H1009">
        <v>4015</v>
      </c>
      <c r="I1009">
        <v>2.63</v>
      </c>
      <c r="J1009">
        <v>80</v>
      </c>
      <c r="K1009">
        <f t="shared" ref="K1009" ca="1" si="1064">IF(F1009="Enrolled", TODAY()-E1009, "")</f>
        <v>682</v>
      </c>
      <c r="M1009">
        <f ca="1">IF(F1009="Enrolled",TODAY() - E1009,"")</f>
        <v>682</v>
      </c>
      <c r="N1009" t="str">
        <f>IF(I1011&gt;=3.5,"Excellent",IF(I1011&gt;=3,"Good",IF(I1011&gt;=2,"Average","Poor")))</f>
        <v>Excellent</v>
      </c>
      <c r="O1009" t="e">
        <f>VLOOKUP(D1009, $T$18:$U$23, 2, FALSE)</f>
        <v>#N/A</v>
      </c>
      <c r="P1009" t="str">
        <f>IF(H1009 &gt; 0.5 * G1009, "YES", "NO")</f>
        <v>NO</v>
      </c>
      <c r="Q1009">
        <f t="shared" si="1028"/>
        <v>124591</v>
      </c>
      <c r="R1009" t="str">
        <f t="shared" ref="R1009" si="1065">IF(MONTH(E1003)&gt;=6, YEAR(E1003) &amp; "-" &amp; YEAR(E1003)+1, YEAR(E1003)-1 &amp; "-" &amp; YEAR(E1003))</f>
        <v>2022-2023</v>
      </c>
    </row>
    <row r="1010" spans="1:18" hidden="1" x14ac:dyDescent="0.25">
      <c r="A1010" t="s">
        <v>2394</v>
      </c>
      <c r="B1010" t="s">
        <v>2395</v>
      </c>
      <c r="C1010" t="s">
        <v>14</v>
      </c>
      <c r="D1010" t="s">
        <v>65</v>
      </c>
      <c r="E1010" t="s">
        <v>2396</v>
      </c>
      <c r="F1010" t="s">
        <v>36</v>
      </c>
      <c r="G1010">
        <v>6048</v>
      </c>
      <c r="H1010">
        <v>5071</v>
      </c>
      <c r="I1010">
        <v>3.78</v>
      </c>
      <c r="J1010">
        <v>84</v>
      </c>
      <c r="Q1010">
        <f t="shared" si="1028"/>
        <v>124591</v>
      </c>
    </row>
    <row r="1011" spans="1:18" hidden="1" x14ac:dyDescent="0.25">
      <c r="A1011" t="s">
        <v>2397</v>
      </c>
      <c r="B1011" t="s">
        <v>2398</v>
      </c>
      <c r="C1011" t="s">
        <v>2</v>
      </c>
      <c r="D1011" t="s">
        <v>25</v>
      </c>
      <c r="E1011" t="s">
        <v>381</v>
      </c>
      <c r="F1011" t="s">
        <v>36</v>
      </c>
      <c r="G1011">
        <v>4181</v>
      </c>
      <c r="H1011">
        <v>800</v>
      </c>
      <c r="I1011">
        <v>3.94</v>
      </c>
      <c r="J1011">
        <v>91</v>
      </c>
      <c r="Q1011">
        <f t="shared" si="1028"/>
        <v>124591</v>
      </c>
    </row>
    <row r="1012" spans="1:18" x14ac:dyDescent="0.25">
      <c r="A1012" t="s">
        <v>2399</v>
      </c>
      <c r="B1012" t="s">
        <v>2400</v>
      </c>
      <c r="C1012" t="s">
        <v>32</v>
      </c>
      <c r="D1012" t="s">
        <v>25</v>
      </c>
      <c r="E1012" s="1">
        <v>44900</v>
      </c>
      <c r="F1012" t="s">
        <v>5</v>
      </c>
      <c r="G1012">
        <v>7377</v>
      </c>
      <c r="H1012">
        <v>1185</v>
      </c>
      <c r="I1012">
        <v>2.25</v>
      </c>
      <c r="J1012">
        <v>96</v>
      </c>
      <c r="K1012">
        <f t="shared" ref="K1012:K1013" ca="1" si="1066">IF(F1012="Enrolled", TODAY()-E1012, "")</f>
        <v>1067</v>
      </c>
      <c r="M1012">
        <f t="shared" ref="M1012:M1013" ca="1" si="1067">IF(F1012="Enrolled",TODAY() - E1012,"")</f>
        <v>1067</v>
      </c>
      <c r="N1012" t="str">
        <f t="shared" ref="N1012:N1013" si="1068">IF(I1014&gt;=3.5,"Excellent",IF(I1014&gt;=3,"Good",IF(I1014&gt;=2,"Average","Poor")))</f>
        <v>Good</v>
      </c>
      <c r="O1012" t="e">
        <f t="shared" ref="O1012:O1013" si="1069">VLOOKUP(D1012, $T$18:$U$23, 2, FALSE)</f>
        <v>#N/A</v>
      </c>
      <c r="P1012" t="str">
        <f t="shared" ref="P1012:P1013" si="1070">IF(H1012 &gt; 0.5 * G1012, "YES", "NO")</f>
        <v>NO</v>
      </c>
      <c r="Q1012">
        <f t="shared" si="1028"/>
        <v>124591</v>
      </c>
      <c r="R1012" t="str">
        <f t="shared" ref="R1012:R1013" si="1071">IF(MONTH(E1006)&gt;=6, YEAR(E1006) &amp; "-" &amp; YEAR(E1006)+1, YEAR(E1006)-1 &amp; "-" &amp; YEAR(E1006))</f>
        <v>2021-2022</v>
      </c>
    </row>
    <row r="1013" spans="1:18" x14ac:dyDescent="0.25">
      <c r="A1013" t="s">
        <v>2401</v>
      </c>
      <c r="B1013" t="s">
        <v>2402</v>
      </c>
      <c r="C1013" t="s">
        <v>14</v>
      </c>
      <c r="D1013" t="s">
        <v>9</v>
      </c>
      <c r="E1013" t="s">
        <v>272</v>
      </c>
      <c r="F1013" t="s">
        <v>5</v>
      </c>
      <c r="G1013">
        <v>14234</v>
      </c>
      <c r="H1013">
        <v>2693</v>
      </c>
      <c r="I1013">
        <v>2.0299999999999998</v>
      </c>
      <c r="J1013">
        <v>34</v>
      </c>
      <c r="K1013">
        <f t="shared" ca="1" si="1066"/>
        <v>1294</v>
      </c>
      <c r="M1013">
        <f t="shared" ca="1" si="1067"/>
        <v>1294</v>
      </c>
      <c r="N1013" t="str">
        <f t="shared" si="1068"/>
        <v>Average</v>
      </c>
      <c r="O1013" t="e">
        <f t="shared" si="1069"/>
        <v>#N/A</v>
      </c>
      <c r="P1013" t="str">
        <f t="shared" si="1070"/>
        <v>NO</v>
      </c>
      <c r="Q1013">
        <f t="shared" si="1028"/>
        <v>124591</v>
      </c>
      <c r="R1013" t="str">
        <f t="shared" si="1071"/>
        <v>2023-2024</v>
      </c>
    </row>
    <row r="1014" spans="1:18" hidden="1" x14ac:dyDescent="0.25">
      <c r="A1014" t="s">
        <v>2403</v>
      </c>
      <c r="B1014" t="s">
        <v>2404</v>
      </c>
      <c r="C1014" t="s">
        <v>32</v>
      </c>
      <c r="D1014" t="s">
        <v>3</v>
      </c>
      <c r="E1014" s="1">
        <v>45538</v>
      </c>
      <c r="F1014" t="s">
        <v>11</v>
      </c>
      <c r="G1014">
        <v>4357</v>
      </c>
      <c r="H1014">
        <v>8371</v>
      </c>
      <c r="I1014">
        <v>3.08</v>
      </c>
      <c r="J1014">
        <v>89</v>
      </c>
      <c r="Q1014">
        <f t="shared" si="1028"/>
        <v>124591</v>
      </c>
    </row>
    <row r="1015" spans="1:18" x14ac:dyDescent="0.25">
      <c r="A1015" t="s">
        <v>2405</v>
      </c>
      <c r="B1015" t="s">
        <v>2406</v>
      </c>
      <c r="C1015" t="s">
        <v>14</v>
      </c>
      <c r="D1015" t="s">
        <v>65</v>
      </c>
      <c r="E1015" t="s">
        <v>1383</v>
      </c>
      <c r="F1015" t="s">
        <v>5</v>
      </c>
      <c r="G1015">
        <v>6176</v>
      </c>
      <c r="H1015">
        <v>7401</v>
      </c>
      <c r="I1015">
        <v>2.68</v>
      </c>
      <c r="J1015">
        <v>68</v>
      </c>
      <c r="K1015">
        <f t="shared" ref="K1015:K1020" ca="1" si="1072">IF(F1015="Enrolled", TODAY()-E1015, "")</f>
        <v>902</v>
      </c>
      <c r="M1015">
        <f t="shared" ref="M1015:M1020" ca="1" si="1073">IF(F1015="Enrolled",TODAY() - E1015,"")</f>
        <v>902</v>
      </c>
      <c r="N1015" t="str">
        <f t="shared" ref="N1015:N1020" si="1074">IF(I1017&gt;=3.5,"Excellent",IF(I1017&gt;=3,"Good",IF(I1017&gt;=2,"Average","Poor")))</f>
        <v>Average</v>
      </c>
      <c r="O1015" t="e">
        <f t="shared" ref="O1015:O1020" si="1075">VLOOKUP(D1015, $T$18:$U$23, 2, FALSE)</f>
        <v>#N/A</v>
      </c>
      <c r="P1015" t="str">
        <f t="shared" ref="P1015:P1020" si="1076">IF(H1015 &gt; 0.5 * G1015, "YES", "NO")</f>
        <v>YES</v>
      </c>
      <c r="Q1015">
        <f t="shared" si="1028"/>
        <v>124591</v>
      </c>
      <c r="R1015" t="str">
        <f t="shared" ref="R1015:R1020" si="1077">IF(MONTH(E1009)&gt;=6, YEAR(E1009) &amp; "-" &amp; YEAR(E1009)+1, YEAR(E1009)-1 &amp; "-" &amp; YEAR(E1009))</f>
        <v>2023-2024</v>
      </c>
    </row>
    <row r="1016" spans="1:18" x14ac:dyDescent="0.25">
      <c r="A1016" t="s">
        <v>2407</v>
      </c>
      <c r="B1016" t="s">
        <v>2408</v>
      </c>
      <c r="C1016" t="s">
        <v>58</v>
      </c>
      <c r="D1016" t="s">
        <v>65</v>
      </c>
      <c r="E1016" t="s">
        <v>4</v>
      </c>
      <c r="F1016" t="s">
        <v>5</v>
      </c>
      <c r="G1016">
        <v>14399</v>
      </c>
      <c r="H1016">
        <v>7150</v>
      </c>
      <c r="I1016">
        <v>2.95</v>
      </c>
      <c r="J1016">
        <v>21</v>
      </c>
      <c r="K1016">
        <f t="shared" ca="1" si="1072"/>
        <v>954</v>
      </c>
      <c r="M1016">
        <f t="shared" ca="1" si="1073"/>
        <v>954</v>
      </c>
      <c r="N1016" t="str">
        <f t="shared" si="1074"/>
        <v>Good</v>
      </c>
      <c r="O1016" t="e">
        <f t="shared" si="1075"/>
        <v>#N/A</v>
      </c>
      <c r="P1016" t="str">
        <f t="shared" si="1076"/>
        <v>NO</v>
      </c>
      <c r="Q1016">
        <f t="shared" si="1028"/>
        <v>124591</v>
      </c>
      <c r="R1016" t="str">
        <f t="shared" si="1077"/>
        <v>2023-2024</v>
      </c>
    </row>
    <row r="1017" spans="1:18" x14ac:dyDescent="0.25">
      <c r="A1017" t="s">
        <v>2409</v>
      </c>
      <c r="B1017" t="s">
        <v>2410</v>
      </c>
      <c r="C1017" t="s">
        <v>21</v>
      </c>
      <c r="D1017" t="s">
        <v>3</v>
      </c>
      <c r="E1017" s="1">
        <v>44621</v>
      </c>
      <c r="F1017" t="s">
        <v>5</v>
      </c>
      <c r="G1017">
        <v>13434</v>
      </c>
      <c r="H1017">
        <v>9599</v>
      </c>
      <c r="I1017">
        <v>2.15</v>
      </c>
      <c r="J1017">
        <v>18</v>
      </c>
      <c r="K1017">
        <f t="shared" ca="1" si="1072"/>
        <v>1346</v>
      </c>
      <c r="M1017">
        <f t="shared" ca="1" si="1073"/>
        <v>1346</v>
      </c>
      <c r="N1017" t="str">
        <f t="shared" si="1074"/>
        <v>Excellent</v>
      </c>
      <c r="O1017" t="e">
        <f t="shared" si="1075"/>
        <v>#N/A</v>
      </c>
      <c r="P1017" t="str">
        <f t="shared" si="1076"/>
        <v>YES</v>
      </c>
      <c r="Q1017">
        <f t="shared" si="1028"/>
        <v>124591</v>
      </c>
      <c r="R1017" t="str">
        <f t="shared" si="1077"/>
        <v>2021-2022</v>
      </c>
    </row>
    <row r="1018" spans="1:18" x14ac:dyDescent="0.25">
      <c r="A1018" t="s">
        <v>2411</v>
      </c>
      <c r="B1018" t="s">
        <v>2412</v>
      </c>
      <c r="C1018" t="s">
        <v>55</v>
      </c>
      <c r="D1018" t="s">
        <v>25</v>
      </c>
      <c r="E1018" t="s">
        <v>384</v>
      </c>
      <c r="F1018" t="s">
        <v>5</v>
      </c>
      <c r="G1018">
        <v>3398</v>
      </c>
      <c r="H1018">
        <v>6329</v>
      </c>
      <c r="I1018">
        <v>3.15</v>
      </c>
      <c r="J1018">
        <v>58</v>
      </c>
      <c r="K1018">
        <f t="shared" ca="1" si="1072"/>
        <v>953</v>
      </c>
      <c r="M1018">
        <f t="shared" ca="1" si="1073"/>
        <v>953</v>
      </c>
      <c r="N1018" t="str">
        <f t="shared" si="1074"/>
        <v>Good</v>
      </c>
      <c r="O1018" t="e">
        <f t="shared" si="1075"/>
        <v>#N/A</v>
      </c>
      <c r="P1018" t="str">
        <f t="shared" si="1076"/>
        <v>YES</v>
      </c>
      <c r="Q1018">
        <f t="shared" si="1028"/>
        <v>124591</v>
      </c>
      <c r="R1018" t="str">
        <f t="shared" si="1077"/>
        <v>2022-2023</v>
      </c>
    </row>
    <row r="1019" spans="1:18" x14ac:dyDescent="0.25">
      <c r="A1019" t="s">
        <v>2413</v>
      </c>
      <c r="B1019" t="s">
        <v>2414</v>
      </c>
      <c r="C1019" t="s">
        <v>32</v>
      </c>
      <c r="D1019" t="s">
        <v>25</v>
      </c>
      <c r="E1019" t="s">
        <v>1563</v>
      </c>
      <c r="F1019" t="s">
        <v>5</v>
      </c>
      <c r="G1019">
        <v>9724</v>
      </c>
      <c r="H1019">
        <v>8224</v>
      </c>
      <c r="I1019">
        <v>3.57</v>
      </c>
      <c r="J1019">
        <v>38</v>
      </c>
      <c r="K1019">
        <f t="shared" ca="1" si="1072"/>
        <v>1140</v>
      </c>
      <c r="M1019">
        <f t="shared" ca="1" si="1073"/>
        <v>1140</v>
      </c>
      <c r="N1019" t="str">
        <f t="shared" si="1074"/>
        <v>Average</v>
      </c>
      <c r="O1019" t="e">
        <f t="shared" si="1075"/>
        <v>#N/A</v>
      </c>
      <c r="P1019" t="str">
        <f t="shared" si="1076"/>
        <v>YES</v>
      </c>
      <c r="Q1019">
        <f t="shared" si="1028"/>
        <v>124591</v>
      </c>
      <c r="R1019" t="str">
        <f t="shared" si="1077"/>
        <v>2021-2022</v>
      </c>
    </row>
    <row r="1020" spans="1:18" x14ac:dyDescent="0.25">
      <c r="A1020" t="s">
        <v>2415</v>
      </c>
      <c r="B1020" t="s">
        <v>2416</v>
      </c>
      <c r="C1020" t="s">
        <v>8</v>
      </c>
      <c r="D1020" t="s">
        <v>65</v>
      </c>
      <c r="E1020" t="s">
        <v>1020</v>
      </c>
      <c r="F1020" t="s">
        <v>5</v>
      </c>
      <c r="G1020">
        <v>13375</v>
      </c>
      <c r="H1020">
        <v>7202</v>
      </c>
      <c r="I1020">
        <v>3.07</v>
      </c>
      <c r="J1020">
        <v>11</v>
      </c>
      <c r="K1020">
        <f t="shared" ca="1" si="1072"/>
        <v>1051</v>
      </c>
      <c r="M1020">
        <f t="shared" ca="1" si="1073"/>
        <v>1051</v>
      </c>
      <c r="N1020" t="str">
        <f t="shared" si="1074"/>
        <v>Excellent</v>
      </c>
      <c r="O1020" t="e">
        <f t="shared" si="1075"/>
        <v>#N/A</v>
      </c>
      <c r="P1020" t="str">
        <f t="shared" si="1076"/>
        <v>YES</v>
      </c>
      <c r="Q1020">
        <f t="shared" si="1028"/>
        <v>124591</v>
      </c>
      <c r="R1020" t="str">
        <f t="shared" si="1077"/>
        <v>2024-2025</v>
      </c>
    </row>
    <row r="1021" spans="1:18" hidden="1" x14ac:dyDescent="0.25">
      <c r="A1021" t="s">
        <v>2417</v>
      </c>
      <c r="B1021" t="s">
        <v>2418</v>
      </c>
      <c r="C1021" t="s">
        <v>55</v>
      </c>
      <c r="D1021" t="s">
        <v>65</v>
      </c>
      <c r="E1021" s="1">
        <v>45508</v>
      </c>
      <c r="F1021" t="s">
        <v>11</v>
      </c>
      <c r="G1021">
        <v>2052</v>
      </c>
      <c r="H1021">
        <v>5540</v>
      </c>
      <c r="I1021">
        <v>2.76</v>
      </c>
      <c r="J1021">
        <v>117</v>
      </c>
      <c r="Q1021">
        <f t="shared" si="1028"/>
        <v>124591</v>
      </c>
    </row>
    <row r="1022" spans="1:18" x14ac:dyDescent="0.25">
      <c r="A1022" t="s">
        <v>2419</v>
      </c>
      <c r="B1022" t="s">
        <v>2420</v>
      </c>
      <c r="C1022" t="s">
        <v>58</v>
      </c>
      <c r="D1022" t="s">
        <v>9</v>
      </c>
      <c r="E1022" s="1">
        <v>44875</v>
      </c>
      <c r="F1022" t="s">
        <v>5</v>
      </c>
      <c r="G1022">
        <v>9348</v>
      </c>
      <c r="H1022">
        <v>3252</v>
      </c>
      <c r="I1022">
        <v>3.92</v>
      </c>
      <c r="J1022">
        <v>20</v>
      </c>
      <c r="K1022">
        <f t="shared" ref="K1022:K1024" ca="1" si="1078">IF(F1022="Enrolled", TODAY()-E1022, "")</f>
        <v>1092</v>
      </c>
      <c r="M1022">
        <f t="shared" ref="M1022:M1024" ca="1" si="1079">IF(F1022="Enrolled",TODAY() - E1022,"")</f>
        <v>1092</v>
      </c>
      <c r="N1022" t="str">
        <f t="shared" ref="N1022:N1024" si="1080">IF(I1024&gt;=3.5,"Excellent",IF(I1024&gt;=3,"Good",IF(I1024&gt;=2,"Average","Poor")))</f>
        <v>Average</v>
      </c>
      <c r="O1022" t="e">
        <f t="shared" ref="O1022:O1024" si="1081">VLOOKUP(D1022, $T$18:$U$23, 2, FALSE)</f>
        <v>#N/A</v>
      </c>
      <c r="P1022" t="str">
        <f t="shared" ref="P1022:P1024" si="1082">IF(H1022 &gt; 0.5 * G1022, "YES", "NO")</f>
        <v>NO</v>
      </c>
      <c r="Q1022">
        <f t="shared" si="1028"/>
        <v>124591</v>
      </c>
      <c r="R1022" t="str">
        <f t="shared" ref="R1022:R1024" si="1083">IF(MONTH(E1016)&gt;=6, YEAR(E1016) &amp; "-" &amp; YEAR(E1016)+1, YEAR(E1016)-1 &amp; "-" &amp; YEAR(E1016))</f>
        <v>2022-2023</v>
      </c>
    </row>
    <row r="1023" spans="1:18" x14ac:dyDescent="0.25">
      <c r="A1023" t="s">
        <v>2421</v>
      </c>
      <c r="B1023" t="s">
        <v>2422</v>
      </c>
      <c r="C1023" t="s">
        <v>32</v>
      </c>
      <c r="D1023" t="s">
        <v>9</v>
      </c>
      <c r="E1023" t="s">
        <v>706</v>
      </c>
      <c r="F1023" t="s">
        <v>5</v>
      </c>
      <c r="G1023">
        <v>3683</v>
      </c>
      <c r="H1023">
        <v>5286</v>
      </c>
      <c r="I1023">
        <v>3.04</v>
      </c>
      <c r="J1023">
        <v>61</v>
      </c>
      <c r="K1023">
        <f t="shared" ca="1" si="1078"/>
        <v>1023</v>
      </c>
      <c r="M1023">
        <f t="shared" ca="1" si="1079"/>
        <v>1023</v>
      </c>
      <c r="N1023" t="str">
        <f t="shared" si="1080"/>
        <v>Average</v>
      </c>
      <c r="O1023" t="e">
        <f t="shared" si="1081"/>
        <v>#N/A</v>
      </c>
      <c r="P1023" t="str">
        <f t="shared" si="1082"/>
        <v>YES</v>
      </c>
      <c r="Q1023">
        <f t="shared" si="1028"/>
        <v>124591</v>
      </c>
      <c r="R1023" t="str">
        <f t="shared" si="1083"/>
        <v>2021-2022</v>
      </c>
    </row>
    <row r="1024" spans="1:18" x14ac:dyDescent="0.25">
      <c r="A1024" t="s">
        <v>2423</v>
      </c>
      <c r="B1024" t="s">
        <v>2424</v>
      </c>
      <c r="C1024" t="s">
        <v>2</v>
      </c>
      <c r="D1024" t="s">
        <v>65</v>
      </c>
      <c r="E1024" t="s">
        <v>2425</v>
      </c>
      <c r="F1024" t="s">
        <v>5</v>
      </c>
      <c r="G1024">
        <v>6294</v>
      </c>
      <c r="H1024">
        <v>3422</v>
      </c>
      <c r="I1024">
        <v>2.84</v>
      </c>
      <c r="J1024">
        <v>107</v>
      </c>
      <c r="K1024">
        <f t="shared" ca="1" si="1078"/>
        <v>1288</v>
      </c>
      <c r="M1024">
        <f t="shared" ca="1" si="1079"/>
        <v>1288</v>
      </c>
      <c r="N1024" t="str">
        <f t="shared" si="1080"/>
        <v>Good</v>
      </c>
      <c r="O1024" t="e">
        <f t="shared" si="1081"/>
        <v>#N/A</v>
      </c>
      <c r="P1024" t="str">
        <f t="shared" si="1082"/>
        <v>YES</v>
      </c>
      <c r="Q1024">
        <f t="shared" si="1028"/>
        <v>124591</v>
      </c>
      <c r="R1024" t="str">
        <f t="shared" si="1083"/>
        <v>2022-2023</v>
      </c>
    </row>
    <row r="1025" spans="1:18" hidden="1" x14ac:dyDescent="0.25">
      <c r="A1025" t="s">
        <v>2426</v>
      </c>
      <c r="B1025" t="s">
        <v>2427</v>
      </c>
      <c r="C1025" t="s">
        <v>58</v>
      </c>
      <c r="D1025" t="s">
        <v>65</v>
      </c>
      <c r="E1025" s="1">
        <v>44751</v>
      </c>
      <c r="F1025" t="s">
        <v>11</v>
      </c>
      <c r="G1025">
        <v>6651</v>
      </c>
      <c r="H1025">
        <v>7082</v>
      </c>
      <c r="I1025">
        <v>2.4300000000000002</v>
      </c>
      <c r="J1025">
        <v>85</v>
      </c>
      <c r="Q1025">
        <f t="shared" si="1028"/>
        <v>124591</v>
      </c>
    </row>
    <row r="1026" spans="1:18" hidden="1" x14ac:dyDescent="0.25">
      <c r="A1026" t="s">
        <v>2428</v>
      </c>
      <c r="B1026" t="s">
        <v>2429</v>
      </c>
      <c r="C1026" t="s">
        <v>2</v>
      </c>
      <c r="D1026" t="s">
        <v>3</v>
      </c>
      <c r="E1026" s="1">
        <v>45570</v>
      </c>
      <c r="F1026" t="s">
        <v>11</v>
      </c>
      <c r="G1026">
        <v>14550</v>
      </c>
      <c r="H1026">
        <v>9171</v>
      </c>
      <c r="I1026">
        <v>3.25</v>
      </c>
      <c r="J1026">
        <v>78</v>
      </c>
      <c r="Q1026">
        <f t="shared" si="1028"/>
        <v>124591</v>
      </c>
    </row>
    <row r="1027" spans="1:18" hidden="1" x14ac:dyDescent="0.25">
      <c r="A1027" t="s">
        <v>2430</v>
      </c>
      <c r="B1027" t="s">
        <v>2431</v>
      </c>
      <c r="C1027" t="s">
        <v>21</v>
      </c>
      <c r="D1027" t="s">
        <v>25</v>
      </c>
      <c r="E1027" t="s">
        <v>1111</v>
      </c>
      <c r="F1027" t="s">
        <v>11</v>
      </c>
      <c r="G1027">
        <v>4049</v>
      </c>
      <c r="H1027">
        <v>3524</v>
      </c>
      <c r="I1027">
        <v>2.23</v>
      </c>
      <c r="J1027">
        <v>29</v>
      </c>
      <c r="Q1027">
        <f t="shared" si="1028"/>
        <v>124591</v>
      </c>
    </row>
    <row r="1028" spans="1:18" hidden="1" x14ac:dyDescent="0.25">
      <c r="A1028" t="s">
        <v>2432</v>
      </c>
      <c r="B1028" t="s">
        <v>2433</v>
      </c>
      <c r="C1028" t="s">
        <v>55</v>
      </c>
      <c r="D1028" t="s">
        <v>3</v>
      </c>
      <c r="E1028" t="s">
        <v>463</v>
      </c>
      <c r="F1028" t="s">
        <v>11</v>
      </c>
      <c r="G1028">
        <v>2397</v>
      </c>
      <c r="H1028">
        <v>7989</v>
      </c>
      <c r="I1028">
        <v>2.91</v>
      </c>
      <c r="J1028">
        <v>117</v>
      </c>
      <c r="Q1028">
        <f t="shared" si="1028"/>
        <v>124591</v>
      </c>
    </row>
    <row r="1029" spans="1:18" hidden="1" x14ac:dyDescent="0.25">
      <c r="A1029" t="s">
        <v>2434</v>
      </c>
      <c r="B1029" t="s">
        <v>2435</v>
      </c>
      <c r="C1029" t="s">
        <v>58</v>
      </c>
      <c r="D1029" t="s">
        <v>9</v>
      </c>
      <c r="E1029" s="1">
        <v>44839</v>
      </c>
      <c r="F1029" t="s">
        <v>11</v>
      </c>
      <c r="G1029">
        <v>2645</v>
      </c>
      <c r="H1029">
        <v>2926</v>
      </c>
      <c r="I1029">
        <v>3.57</v>
      </c>
      <c r="J1029">
        <v>54</v>
      </c>
      <c r="Q1029">
        <f t="shared" si="1028"/>
        <v>124591</v>
      </c>
    </row>
    <row r="1030" spans="1:18" x14ac:dyDescent="0.25">
      <c r="A1030" t="s">
        <v>2436</v>
      </c>
      <c r="B1030" t="s">
        <v>2437</v>
      </c>
      <c r="C1030" t="s">
        <v>21</v>
      </c>
      <c r="D1030" t="s">
        <v>65</v>
      </c>
      <c r="E1030" t="s">
        <v>298</v>
      </c>
      <c r="F1030" t="s">
        <v>5</v>
      </c>
      <c r="G1030">
        <v>4105</v>
      </c>
      <c r="H1030">
        <v>9705</v>
      </c>
      <c r="I1030">
        <v>2.3199999999999998</v>
      </c>
      <c r="J1030">
        <v>22</v>
      </c>
      <c r="K1030">
        <f t="shared" ref="K1030:K1033" ca="1" si="1084">IF(F1030="Enrolled", TODAY()-E1030, "")</f>
        <v>1103</v>
      </c>
      <c r="M1030">
        <f t="shared" ref="M1030:M1033" ca="1" si="1085">IF(F1030="Enrolled",TODAY() - E1030,"")</f>
        <v>1103</v>
      </c>
      <c r="N1030" t="str">
        <f t="shared" ref="N1030:N1033" si="1086">IF(I1032&gt;=3.5,"Excellent",IF(I1032&gt;=3,"Good",IF(I1032&gt;=2,"Average","Poor")))</f>
        <v>Good</v>
      </c>
      <c r="O1030" t="e">
        <f t="shared" ref="O1030:O1033" si="1087">VLOOKUP(D1030, $T$18:$U$23, 2, FALSE)</f>
        <v>#N/A</v>
      </c>
      <c r="P1030" t="str">
        <f t="shared" ref="P1030:P1033" si="1088">IF(H1030 &gt; 0.5 * G1030, "YES", "NO")</f>
        <v>YES</v>
      </c>
      <c r="Q1030">
        <f t="shared" si="1028"/>
        <v>121946</v>
      </c>
      <c r="R1030" t="str">
        <f t="shared" ref="R1030:R1033" si="1089">IF(MONTH(E1024)&gt;=6, YEAR(E1024) &amp; "-" &amp; YEAR(E1024)+1, YEAR(E1024)-1 &amp; "-" &amp; YEAR(E1024))</f>
        <v>2021-2022</v>
      </c>
    </row>
    <row r="1031" spans="1:18" x14ac:dyDescent="0.25">
      <c r="A1031" t="s">
        <v>2438</v>
      </c>
      <c r="B1031" t="s">
        <v>2439</v>
      </c>
      <c r="C1031" t="s">
        <v>2</v>
      </c>
      <c r="D1031" t="s">
        <v>25</v>
      </c>
      <c r="E1031" s="1">
        <v>44867</v>
      </c>
      <c r="F1031" t="s">
        <v>5</v>
      </c>
      <c r="G1031">
        <v>7185</v>
      </c>
      <c r="H1031">
        <v>3129</v>
      </c>
      <c r="I1031">
        <v>2.87</v>
      </c>
      <c r="J1031">
        <v>24</v>
      </c>
      <c r="K1031">
        <f t="shared" ca="1" si="1084"/>
        <v>1100</v>
      </c>
      <c r="M1031">
        <f t="shared" ca="1" si="1085"/>
        <v>1100</v>
      </c>
      <c r="N1031" t="str">
        <f t="shared" si="1086"/>
        <v>Good</v>
      </c>
      <c r="O1031" t="e">
        <f t="shared" si="1087"/>
        <v>#N/A</v>
      </c>
      <c r="P1031" t="str">
        <f t="shared" si="1088"/>
        <v>NO</v>
      </c>
      <c r="Q1031">
        <f t="shared" si="1028"/>
        <v>121946</v>
      </c>
      <c r="R1031" t="str">
        <f t="shared" si="1089"/>
        <v>2022-2023</v>
      </c>
    </row>
    <row r="1032" spans="1:18" x14ac:dyDescent="0.25">
      <c r="A1032" t="s">
        <v>2440</v>
      </c>
      <c r="B1032" t="s">
        <v>2441</v>
      </c>
      <c r="C1032" t="s">
        <v>55</v>
      </c>
      <c r="D1032" t="s">
        <v>9</v>
      </c>
      <c r="E1032" s="1">
        <v>45536</v>
      </c>
      <c r="F1032" t="s">
        <v>5</v>
      </c>
      <c r="G1032">
        <v>6263</v>
      </c>
      <c r="H1032">
        <v>1642</v>
      </c>
      <c r="I1032">
        <v>3.17</v>
      </c>
      <c r="J1032">
        <v>49</v>
      </c>
      <c r="K1032">
        <f t="shared" ca="1" si="1084"/>
        <v>431</v>
      </c>
      <c r="M1032">
        <f t="shared" ca="1" si="1085"/>
        <v>431</v>
      </c>
      <c r="N1032" t="str">
        <f t="shared" si="1086"/>
        <v>Average</v>
      </c>
      <c r="O1032" t="e">
        <f t="shared" si="1087"/>
        <v>#N/A</v>
      </c>
      <c r="P1032" t="str">
        <f t="shared" si="1088"/>
        <v>NO</v>
      </c>
      <c r="Q1032">
        <f t="shared" si="1028"/>
        <v>121946</v>
      </c>
      <c r="R1032" t="str">
        <f t="shared" si="1089"/>
        <v>2024-2025</v>
      </c>
    </row>
    <row r="1033" spans="1:18" x14ac:dyDescent="0.25">
      <c r="A1033" t="s">
        <v>2442</v>
      </c>
      <c r="B1033" t="s">
        <v>2443</v>
      </c>
      <c r="C1033" t="s">
        <v>32</v>
      </c>
      <c r="D1033" t="s">
        <v>3</v>
      </c>
      <c r="E1033" t="s">
        <v>2444</v>
      </c>
      <c r="F1033" t="s">
        <v>5</v>
      </c>
      <c r="G1033">
        <v>7201</v>
      </c>
      <c r="H1033">
        <v>943</v>
      </c>
      <c r="I1033">
        <v>3.49</v>
      </c>
      <c r="J1033">
        <v>19</v>
      </c>
      <c r="K1033">
        <f t="shared" ca="1" si="1084"/>
        <v>837</v>
      </c>
      <c r="M1033">
        <f t="shared" ca="1" si="1085"/>
        <v>837</v>
      </c>
      <c r="N1033" t="str">
        <f t="shared" si="1086"/>
        <v>Good</v>
      </c>
      <c r="O1033" t="e">
        <f t="shared" si="1087"/>
        <v>#N/A</v>
      </c>
      <c r="P1033" t="str">
        <f t="shared" si="1088"/>
        <v>NO</v>
      </c>
      <c r="Q1033">
        <f t="shared" si="1028"/>
        <v>121946</v>
      </c>
      <c r="R1033" t="str">
        <f t="shared" si="1089"/>
        <v>2023-2024</v>
      </c>
    </row>
    <row r="1034" spans="1:18" hidden="1" x14ac:dyDescent="0.25">
      <c r="A1034" t="s">
        <v>2445</v>
      </c>
      <c r="B1034" t="s">
        <v>2446</v>
      </c>
      <c r="C1034" t="s">
        <v>2</v>
      </c>
      <c r="D1034" t="s">
        <v>65</v>
      </c>
      <c r="E1034" t="s">
        <v>22</v>
      </c>
      <c r="F1034" t="s">
        <v>36</v>
      </c>
      <c r="G1034">
        <v>6043</v>
      </c>
      <c r="H1034">
        <v>6673</v>
      </c>
      <c r="I1034">
        <v>2.94</v>
      </c>
      <c r="J1034">
        <v>81</v>
      </c>
      <c r="Q1034">
        <f t="shared" si="1028"/>
        <v>121946</v>
      </c>
    </row>
    <row r="1035" spans="1:18" x14ac:dyDescent="0.25">
      <c r="A1035" t="s">
        <v>2447</v>
      </c>
      <c r="B1035" t="s">
        <v>2448</v>
      </c>
      <c r="C1035" t="s">
        <v>55</v>
      </c>
      <c r="D1035" t="s">
        <v>25</v>
      </c>
      <c r="E1035" s="1">
        <v>45384</v>
      </c>
      <c r="F1035" t="s">
        <v>5</v>
      </c>
      <c r="G1035">
        <v>4290</v>
      </c>
      <c r="H1035">
        <v>8037</v>
      </c>
      <c r="I1035">
        <v>3.2</v>
      </c>
      <c r="J1035">
        <v>100</v>
      </c>
      <c r="K1035">
        <f t="shared" ref="K1035:K1037" ca="1" si="1090">IF(F1035="Enrolled", TODAY()-E1035, "")</f>
        <v>583</v>
      </c>
      <c r="M1035">
        <f t="shared" ref="M1035:M1037" ca="1" si="1091">IF(F1035="Enrolled",TODAY() - E1035,"")</f>
        <v>583</v>
      </c>
      <c r="N1035" t="str">
        <f t="shared" ref="N1035:N1037" si="1092">IF(I1037&gt;=3.5,"Excellent",IF(I1037&gt;=3,"Good",IF(I1037&gt;=2,"Average","Poor")))</f>
        <v>Good</v>
      </c>
      <c r="O1035" t="e">
        <f t="shared" ref="O1035:O1037" si="1093">VLOOKUP(D1035, $T$18:$U$23, 2, FALSE)</f>
        <v>#N/A</v>
      </c>
      <c r="P1035" t="str">
        <f t="shared" ref="P1035:P1037" si="1094">IF(H1035 &gt; 0.5 * G1035, "YES", "NO")</f>
        <v>YES</v>
      </c>
      <c r="Q1035">
        <f t="shared" si="1028"/>
        <v>121946</v>
      </c>
      <c r="R1035" t="str">
        <f t="shared" ref="R1035:R1037" si="1095">IF(MONTH(E1029)&gt;=6, YEAR(E1029) &amp; "-" &amp; YEAR(E1029)+1, YEAR(E1029)-1 &amp; "-" &amp; YEAR(E1029))</f>
        <v>2022-2023</v>
      </c>
    </row>
    <row r="1036" spans="1:18" x14ac:dyDescent="0.25">
      <c r="A1036" t="s">
        <v>2449</v>
      </c>
      <c r="B1036" t="s">
        <v>2450</v>
      </c>
      <c r="C1036" t="s">
        <v>2</v>
      </c>
      <c r="D1036" t="s">
        <v>9</v>
      </c>
      <c r="E1036" t="s">
        <v>1224</v>
      </c>
      <c r="F1036" t="s">
        <v>5</v>
      </c>
      <c r="G1036">
        <v>13750</v>
      </c>
      <c r="H1036">
        <v>3160</v>
      </c>
      <c r="I1036">
        <v>2.5299999999999998</v>
      </c>
      <c r="J1036">
        <v>20</v>
      </c>
      <c r="K1036">
        <f t="shared" ca="1" si="1090"/>
        <v>747</v>
      </c>
      <c r="M1036">
        <f t="shared" ca="1" si="1091"/>
        <v>747</v>
      </c>
      <c r="N1036" t="str">
        <f t="shared" si="1092"/>
        <v>Good</v>
      </c>
      <c r="O1036" t="e">
        <f t="shared" si="1093"/>
        <v>#N/A</v>
      </c>
      <c r="P1036" t="str">
        <f t="shared" si="1094"/>
        <v>NO</v>
      </c>
      <c r="Q1036">
        <f t="shared" si="1028"/>
        <v>121946</v>
      </c>
      <c r="R1036" t="str">
        <f t="shared" si="1095"/>
        <v>2022-2023</v>
      </c>
    </row>
    <row r="1037" spans="1:18" x14ac:dyDescent="0.25">
      <c r="A1037" t="s">
        <v>2451</v>
      </c>
      <c r="B1037" t="s">
        <v>2452</v>
      </c>
      <c r="C1037" t="s">
        <v>55</v>
      </c>
      <c r="D1037" t="s">
        <v>9</v>
      </c>
      <c r="E1037" s="1">
        <v>45108</v>
      </c>
      <c r="F1037" t="s">
        <v>5</v>
      </c>
      <c r="G1037">
        <v>9223</v>
      </c>
      <c r="H1037">
        <v>934</v>
      </c>
      <c r="I1037">
        <v>3.49</v>
      </c>
      <c r="J1037">
        <v>104</v>
      </c>
      <c r="K1037">
        <f t="shared" ca="1" si="1090"/>
        <v>859</v>
      </c>
      <c r="M1037">
        <f t="shared" ca="1" si="1091"/>
        <v>859</v>
      </c>
      <c r="N1037" t="str">
        <f t="shared" si="1092"/>
        <v>Good</v>
      </c>
      <c r="O1037" t="e">
        <f t="shared" si="1093"/>
        <v>#N/A</v>
      </c>
      <c r="P1037" t="str">
        <f t="shared" si="1094"/>
        <v>NO</v>
      </c>
      <c r="Q1037">
        <f t="shared" ref="Q1037:Q1100" si="1096">SUMIFS(G1037:G2235, F1037:F2235, "Completed", D1037:D2235, "Science")</f>
        <v>121946</v>
      </c>
      <c r="R1037" t="str">
        <f t="shared" si="1095"/>
        <v>2022-2023</v>
      </c>
    </row>
    <row r="1038" spans="1:18" hidden="1" x14ac:dyDescent="0.25">
      <c r="A1038" t="s">
        <v>2453</v>
      </c>
      <c r="B1038" t="s">
        <v>2454</v>
      </c>
      <c r="C1038" t="s">
        <v>32</v>
      </c>
      <c r="D1038" t="s">
        <v>25</v>
      </c>
      <c r="E1038" t="s">
        <v>232</v>
      </c>
      <c r="F1038" t="s">
        <v>11</v>
      </c>
      <c r="G1038">
        <v>9699</v>
      </c>
      <c r="H1038">
        <v>3736</v>
      </c>
      <c r="I1038">
        <v>3.07</v>
      </c>
      <c r="J1038">
        <v>57</v>
      </c>
      <c r="Q1038">
        <f t="shared" si="1096"/>
        <v>121946</v>
      </c>
    </row>
    <row r="1039" spans="1:18" x14ac:dyDescent="0.25">
      <c r="A1039" t="s">
        <v>2455</v>
      </c>
      <c r="B1039" t="s">
        <v>2456</v>
      </c>
      <c r="C1039" t="s">
        <v>2</v>
      </c>
      <c r="D1039" t="s">
        <v>65</v>
      </c>
      <c r="E1039" t="s">
        <v>381</v>
      </c>
      <c r="F1039" t="s">
        <v>5</v>
      </c>
      <c r="G1039">
        <v>9851</v>
      </c>
      <c r="H1039">
        <v>2149</v>
      </c>
      <c r="I1039">
        <v>3.39</v>
      </c>
      <c r="J1039">
        <v>78</v>
      </c>
      <c r="K1039">
        <f t="shared" ref="K1039:K1044" ca="1" si="1097">IF(F1039="Enrolled", TODAY()-E1039, "")</f>
        <v>1388</v>
      </c>
      <c r="M1039">
        <f t="shared" ref="M1039:M1044" ca="1" si="1098">IF(F1039="Enrolled",TODAY() - E1039,"")</f>
        <v>1388</v>
      </c>
      <c r="N1039" t="str">
        <f t="shared" ref="N1039:N1044" si="1099">IF(I1041&gt;=3.5,"Excellent",IF(I1041&gt;=3,"Good",IF(I1041&gt;=2,"Average","Poor")))</f>
        <v>Excellent</v>
      </c>
      <c r="O1039" t="e">
        <f t="shared" ref="O1039:O1044" si="1100">VLOOKUP(D1039, $T$18:$U$23, 2, FALSE)</f>
        <v>#N/A</v>
      </c>
      <c r="P1039" t="str">
        <f t="shared" ref="P1039:P1044" si="1101">IF(H1039 &gt; 0.5 * G1039, "YES", "NO")</f>
        <v>NO</v>
      </c>
      <c r="Q1039">
        <f t="shared" si="1096"/>
        <v>121946</v>
      </c>
      <c r="R1039" t="str">
        <f t="shared" ref="R1039:R1044" si="1102">IF(MONTH(E1033)&gt;=6, YEAR(E1033) &amp; "-" &amp; YEAR(E1033)+1, YEAR(E1033)-1 &amp; "-" &amp; YEAR(E1033))</f>
        <v>2023-2024</v>
      </c>
    </row>
    <row r="1040" spans="1:18" x14ac:dyDescent="0.25">
      <c r="A1040" t="s">
        <v>2457</v>
      </c>
      <c r="B1040" t="s">
        <v>2458</v>
      </c>
      <c r="C1040" t="s">
        <v>58</v>
      </c>
      <c r="D1040" t="s">
        <v>9</v>
      </c>
      <c r="E1040" t="s">
        <v>1458</v>
      </c>
      <c r="F1040" t="s">
        <v>5</v>
      </c>
      <c r="G1040">
        <v>8813</v>
      </c>
      <c r="H1040">
        <v>795</v>
      </c>
      <c r="I1040">
        <v>3.25</v>
      </c>
      <c r="J1040">
        <v>110</v>
      </c>
      <c r="K1040">
        <f t="shared" ca="1" si="1097"/>
        <v>526</v>
      </c>
      <c r="M1040">
        <f t="shared" ca="1" si="1098"/>
        <v>526</v>
      </c>
      <c r="N1040" t="str">
        <f t="shared" si="1099"/>
        <v>Average</v>
      </c>
      <c r="O1040" t="e">
        <f t="shared" si="1100"/>
        <v>#N/A</v>
      </c>
      <c r="P1040" t="str">
        <f t="shared" si="1101"/>
        <v>NO</v>
      </c>
      <c r="Q1040">
        <f t="shared" si="1096"/>
        <v>121946</v>
      </c>
      <c r="R1040" t="str">
        <f t="shared" si="1102"/>
        <v>2023-2024</v>
      </c>
    </row>
    <row r="1041" spans="1:18" x14ac:dyDescent="0.25">
      <c r="A1041" t="s">
        <v>2459</v>
      </c>
      <c r="B1041" t="s">
        <v>2460</v>
      </c>
      <c r="C1041" t="s">
        <v>17</v>
      </c>
      <c r="D1041" t="s">
        <v>9</v>
      </c>
      <c r="E1041" t="s">
        <v>2461</v>
      </c>
      <c r="F1041" t="s">
        <v>5</v>
      </c>
      <c r="G1041">
        <v>9828</v>
      </c>
      <c r="H1041">
        <v>9604</v>
      </c>
      <c r="I1041">
        <v>3.94</v>
      </c>
      <c r="J1041">
        <v>17</v>
      </c>
      <c r="K1041">
        <f t="shared" ca="1" si="1097"/>
        <v>1273</v>
      </c>
      <c r="M1041">
        <f t="shared" ca="1" si="1098"/>
        <v>1273</v>
      </c>
      <c r="N1041" t="str">
        <f t="shared" si="1099"/>
        <v>Average</v>
      </c>
      <c r="O1041" t="e">
        <f t="shared" si="1100"/>
        <v>#N/A</v>
      </c>
      <c r="P1041" t="str">
        <f t="shared" si="1101"/>
        <v>YES</v>
      </c>
      <c r="Q1041">
        <f t="shared" si="1096"/>
        <v>121946</v>
      </c>
      <c r="R1041" t="str">
        <f t="shared" si="1102"/>
        <v>2023-2024</v>
      </c>
    </row>
    <row r="1042" spans="1:18" x14ac:dyDescent="0.25">
      <c r="A1042" t="s">
        <v>2462</v>
      </c>
      <c r="B1042" t="s">
        <v>2463</v>
      </c>
      <c r="C1042" t="s">
        <v>17</v>
      </c>
      <c r="D1042" t="s">
        <v>65</v>
      </c>
      <c r="E1042" t="s">
        <v>484</v>
      </c>
      <c r="F1042" t="s">
        <v>5</v>
      </c>
      <c r="G1042">
        <v>14430</v>
      </c>
      <c r="H1042">
        <v>4963</v>
      </c>
      <c r="I1042">
        <v>2.41</v>
      </c>
      <c r="J1042">
        <v>73</v>
      </c>
      <c r="K1042">
        <f t="shared" ca="1" si="1097"/>
        <v>1385</v>
      </c>
      <c r="M1042">
        <f t="shared" ca="1" si="1098"/>
        <v>1385</v>
      </c>
      <c r="N1042" t="str">
        <f t="shared" si="1099"/>
        <v>Average</v>
      </c>
      <c r="O1042" t="e">
        <f t="shared" si="1100"/>
        <v>#N/A</v>
      </c>
      <c r="P1042" t="str">
        <f t="shared" si="1101"/>
        <v>NO</v>
      </c>
      <c r="Q1042">
        <f t="shared" si="1096"/>
        <v>121946</v>
      </c>
      <c r="R1042" t="str">
        <f t="shared" si="1102"/>
        <v>2023-2024</v>
      </c>
    </row>
    <row r="1043" spans="1:18" x14ac:dyDescent="0.25">
      <c r="A1043" t="s">
        <v>2464</v>
      </c>
      <c r="B1043" t="s">
        <v>2465</v>
      </c>
      <c r="C1043" t="s">
        <v>8</v>
      </c>
      <c r="D1043" t="s">
        <v>65</v>
      </c>
      <c r="E1043" t="s">
        <v>646</v>
      </c>
      <c r="F1043" t="s">
        <v>5</v>
      </c>
      <c r="G1043">
        <v>14409</v>
      </c>
      <c r="H1043">
        <v>5793</v>
      </c>
      <c r="I1043">
        <v>2.61</v>
      </c>
      <c r="J1043">
        <v>31</v>
      </c>
      <c r="K1043">
        <f t="shared" ca="1" si="1097"/>
        <v>951</v>
      </c>
      <c r="M1043">
        <f t="shared" ca="1" si="1098"/>
        <v>951</v>
      </c>
      <c r="N1043" t="str">
        <f t="shared" si="1099"/>
        <v>Excellent</v>
      </c>
      <c r="O1043" t="e">
        <f t="shared" si="1100"/>
        <v>#N/A</v>
      </c>
      <c r="P1043" t="str">
        <f t="shared" si="1101"/>
        <v>NO</v>
      </c>
      <c r="Q1043">
        <f t="shared" si="1096"/>
        <v>121946</v>
      </c>
      <c r="R1043" t="str">
        <f t="shared" si="1102"/>
        <v>2023-2024</v>
      </c>
    </row>
    <row r="1044" spans="1:18" x14ac:dyDescent="0.25">
      <c r="A1044" t="s">
        <v>2466</v>
      </c>
      <c r="B1044" t="s">
        <v>2467</v>
      </c>
      <c r="C1044" t="s">
        <v>32</v>
      </c>
      <c r="D1044" t="s">
        <v>25</v>
      </c>
      <c r="E1044" s="1">
        <v>44904</v>
      </c>
      <c r="F1044" t="s">
        <v>5</v>
      </c>
      <c r="G1044">
        <v>3726</v>
      </c>
      <c r="H1044">
        <v>586</v>
      </c>
      <c r="I1044">
        <v>2.2200000000000002</v>
      </c>
      <c r="J1044">
        <v>6</v>
      </c>
      <c r="K1044">
        <f t="shared" ca="1" si="1097"/>
        <v>1063</v>
      </c>
      <c r="M1044">
        <f t="shared" ca="1" si="1098"/>
        <v>1063</v>
      </c>
      <c r="N1044" t="str">
        <f t="shared" si="1099"/>
        <v>Good</v>
      </c>
      <c r="O1044" t="e">
        <f t="shared" si="1100"/>
        <v>#N/A</v>
      </c>
      <c r="P1044" t="str">
        <f t="shared" si="1101"/>
        <v>NO</v>
      </c>
      <c r="Q1044">
        <f t="shared" si="1096"/>
        <v>121946</v>
      </c>
      <c r="R1044" t="str">
        <f t="shared" si="1102"/>
        <v>2023-2024</v>
      </c>
    </row>
    <row r="1045" spans="1:18" hidden="1" x14ac:dyDescent="0.25">
      <c r="A1045" t="s">
        <v>2468</v>
      </c>
      <c r="B1045" t="s">
        <v>2469</v>
      </c>
      <c r="C1045" t="s">
        <v>21</v>
      </c>
      <c r="D1045" t="s">
        <v>9</v>
      </c>
      <c r="E1045" t="s">
        <v>1472</v>
      </c>
      <c r="F1045" t="s">
        <v>11</v>
      </c>
      <c r="G1045">
        <v>12371</v>
      </c>
      <c r="H1045">
        <v>3982</v>
      </c>
      <c r="I1045">
        <v>3.58</v>
      </c>
      <c r="J1045">
        <v>52</v>
      </c>
      <c r="Q1045">
        <f t="shared" si="1096"/>
        <v>121946</v>
      </c>
    </row>
    <row r="1046" spans="1:18" hidden="1" x14ac:dyDescent="0.25">
      <c r="A1046" t="s">
        <v>2470</v>
      </c>
      <c r="B1046" t="s">
        <v>2471</v>
      </c>
      <c r="C1046" t="s">
        <v>17</v>
      </c>
      <c r="D1046" t="s">
        <v>25</v>
      </c>
      <c r="E1046" t="s">
        <v>2472</v>
      </c>
      <c r="F1046" t="s">
        <v>11</v>
      </c>
      <c r="G1046">
        <v>3344</v>
      </c>
      <c r="H1046">
        <v>5902</v>
      </c>
      <c r="I1046">
        <v>3.46</v>
      </c>
      <c r="J1046">
        <v>75</v>
      </c>
      <c r="Q1046">
        <f t="shared" si="1096"/>
        <v>109575</v>
      </c>
    </row>
    <row r="1047" spans="1:18" x14ac:dyDescent="0.25">
      <c r="A1047" t="s">
        <v>2473</v>
      </c>
      <c r="B1047" t="s">
        <v>2474</v>
      </c>
      <c r="C1047" t="s">
        <v>32</v>
      </c>
      <c r="D1047" t="s">
        <v>3</v>
      </c>
      <c r="E1047" t="s">
        <v>74</v>
      </c>
      <c r="F1047" t="s">
        <v>5</v>
      </c>
      <c r="G1047">
        <v>10360</v>
      </c>
      <c r="H1047">
        <v>6049</v>
      </c>
      <c r="I1047">
        <v>2.79</v>
      </c>
      <c r="J1047">
        <v>42</v>
      </c>
      <c r="K1047">
        <f t="shared" ref="K1047:K1049" ca="1" si="1103">IF(F1047="Enrolled", TODAY()-E1047, "")</f>
        <v>963</v>
      </c>
      <c r="M1047">
        <f t="shared" ref="M1047:M1049" ca="1" si="1104">IF(F1047="Enrolled",TODAY() - E1047,"")</f>
        <v>963</v>
      </c>
      <c r="N1047" t="str">
        <f t="shared" ref="N1047:N1049" si="1105">IF(I1049&gt;=3.5,"Excellent",IF(I1049&gt;=3,"Good",IF(I1049&gt;=2,"Average","Poor")))</f>
        <v>Average</v>
      </c>
      <c r="O1047" t="e">
        <f t="shared" ref="O1047:O1049" si="1106">VLOOKUP(D1047, $T$18:$U$23, 2, FALSE)</f>
        <v>#N/A</v>
      </c>
      <c r="P1047" t="str">
        <f t="shared" ref="P1047:P1049" si="1107">IF(H1047 &gt; 0.5 * G1047, "YES", "NO")</f>
        <v>YES</v>
      </c>
      <c r="Q1047">
        <f t="shared" si="1096"/>
        <v>109575</v>
      </c>
      <c r="R1047" t="str">
        <f t="shared" ref="R1047:R1049" si="1108">IF(MONTH(E1041)&gt;=6, YEAR(E1041) &amp; "-" &amp; YEAR(E1041)+1, YEAR(E1041)-1 &amp; "-" &amp; YEAR(E1041))</f>
        <v>2021-2022</v>
      </c>
    </row>
    <row r="1048" spans="1:18" x14ac:dyDescent="0.25">
      <c r="A1048" t="s">
        <v>2475</v>
      </c>
      <c r="B1048" t="s">
        <v>2476</v>
      </c>
      <c r="C1048" t="s">
        <v>55</v>
      </c>
      <c r="D1048" t="s">
        <v>3</v>
      </c>
      <c r="E1048" t="s">
        <v>2063</v>
      </c>
      <c r="F1048" t="s">
        <v>5</v>
      </c>
      <c r="G1048">
        <v>9592</v>
      </c>
      <c r="H1048">
        <v>5292</v>
      </c>
      <c r="I1048">
        <v>3.61</v>
      </c>
      <c r="J1048">
        <v>59</v>
      </c>
      <c r="K1048">
        <f t="shared" ca="1" si="1103"/>
        <v>1203</v>
      </c>
      <c r="M1048">
        <f t="shared" ca="1" si="1104"/>
        <v>1203</v>
      </c>
      <c r="N1048" t="str">
        <f t="shared" si="1105"/>
        <v>Average</v>
      </c>
      <c r="O1048" t="e">
        <f t="shared" si="1106"/>
        <v>#N/A</v>
      </c>
      <c r="P1048" t="str">
        <f t="shared" si="1107"/>
        <v>YES</v>
      </c>
      <c r="Q1048">
        <f t="shared" si="1096"/>
        <v>109575</v>
      </c>
      <c r="R1048" t="str">
        <f t="shared" si="1108"/>
        <v>2021-2022</v>
      </c>
    </row>
    <row r="1049" spans="1:18" x14ac:dyDescent="0.25">
      <c r="A1049" t="s">
        <v>2477</v>
      </c>
      <c r="B1049" t="s">
        <v>2478</v>
      </c>
      <c r="C1049" t="s">
        <v>32</v>
      </c>
      <c r="D1049" t="s">
        <v>3</v>
      </c>
      <c r="E1049" t="s">
        <v>2479</v>
      </c>
      <c r="F1049" t="s">
        <v>5</v>
      </c>
      <c r="G1049">
        <v>9512</v>
      </c>
      <c r="H1049">
        <v>2317</v>
      </c>
      <c r="I1049">
        <v>2.98</v>
      </c>
      <c r="J1049">
        <v>56</v>
      </c>
      <c r="K1049">
        <f t="shared" ca="1" si="1103"/>
        <v>1225</v>
      </c>
      <c r="M1049">
        <f t="shared" ca="1" si="1104"/>
        <v>1225</v>
      </c>
      <c r="N1049" t="str">
        <f t="shared" si="1105"/>
        <v>Average</v>
      </c>
      <c r="O1049" t="e">
        <f t="shared" si="1106"/>
        <v>#N/A</v>
      </c>
      <c r="P1049" t="str">
        <f t="shared" si="1107"/>
        <v>NO</v>
      </c>
      <c r="Q1049">
        <f t="shared" si="1096"/>
        <v>109575</v>
      </c>
      <c r="R1049" t="str">
        <f t="shared" si="1108"/>
        <v>2022-2023</v>
      </c>
    </row>
    <row r="1050" spans="1:18" hidden="1" x14ac:dyDescent="0.25">
      <c r="A1050" t="s">
        <v>2480</v>
      </c>
      <c r="B1050" t="s">
        <v>2481</v>
      </c>
      <c r="C1050" t="s">
        <v>58</v>
      </c>
      <c r="D1050" t="s">
        <v>9</v>
      </c>
      <c r="E1050" t="s">
        <v>759</v>
      </c>
      <c r="F1050" t="s">
        <v>11</v>
      </c>
      <c r="G1050">
        <v>5373</v>
      </c>
      <c r="H1050">
        <v>8186</v>
      </c>
      <c r="I1050">
        <v>2.29</v>
      </c>
      <c r="J1050">
        <v>22</v>
      </c>
      <c r="Q1050">
        <f t="shared" si="1096"/>
        <v>109575</v>
      </c>
    </row>
    <row r="1051" spans="1:18" hidden="1" x14ac:dyDescent="0.25">
      <c r="A1051" t="s">
        <v>2482</v>
      </c>
      <c r="B1051" t="s">
        <v>2483</v>
      </c>
      <c r="C1051" t="s">
        <v>14</v>
      </c>
      <c r="D1051" t="s">
        <v>9</v>
      </c>
      <c r="E1051" s="1">
        <v>44843</v>
      </c>
      <c r="F1051" t="s">
        <v>11</v>
      </c>
      <c r="G1051">
        <v>5354</v>
      </c>
      <c r="H1051">
        <v>2730</v>
      </c>
      <c r="I1051">
        <v>2.44</v>
      </c>
      <c r="J1051">
        <v>94</v>
      </c>
      <c r="Q1051">
        <f t="shared" si="1096"/>
        <v>104202</v>
      </c>
    </row>
    <row r="1052" spans="1:18" hidden="1" x14ac:dyDescent="0.25">
      <c r="A1052" t="s">
        <v>2484</v>
      </c>
      <c r="B1052" t="s">
        <v>2485</v>
      </c>
      <c r="C1052" t="s">
        <v>32</v>
      </c>
      <c r="D1052" t="s">
        <v>65</v>
      </c>
      <c r="E1052" s="1">
        <v>44691</v>
      </c>
      <c r="F1052" t="s">
        <v>11</v>
      </c>
      <c r="G1052">
        <v>2479</v>
      </c>
      <c r="H1052">
        <v>1588</v>
      </c>
      <c r="I1052">
        <v>3.71</v>
      </c>
      <c r="J1052">
        <v>100</v>
      </c>
      <c r="Q1052">
        <f t="shared" si="1096"/>
        <v>98848</v>
      </c>
    </row>
    <row r="1053" spans="1:18" hidden="1" x14ac:dyDescent="0.25">
      <c r="A1053" t="s">
        <v>2486</v>
      </c>
      <c r="B1053" t="s">
        <v>2487</v>
      </c>
      <c r="C1053" t="s">
        <v>2</v>
      </c>
      <c r="D1053" t="s">
        <v>65</v>
      </c>
      <c r="E1053" t="s">
        <v>1422</v>
      </c>
      <c r="F1053" t="s">
        <v>36</v>
      </c>
      <c r="G1053">
        <v>6810</v>
      </c>
      <c r="H1053">
        <v>405</v>
      </c>
      <c r="I1053">
        <v>2.94</v>
      </c>
      <c r="J1053">
        <v>46</v>
      </c>
      <c r="Q1053">
        <f t="shared" si="1096"/>
        <v>98848</v>
      </c>
    </row>
    <row r="1054" spans="1:18" x14ac:dyDescent="0.25">
      <c r="A1054" t="s">
        <v>2488</v>
      </c>
      <c r="B1054" t="s">
        <v>2489</v>
      </c>
      <c r="C1054" t="s">
        <v>2</v>
      </c>
      <c r="D1054" t="s">
        <v>9</v>
      </c>
      <c r="E1054" s="1">
        <v>44718</v>
      </c>
      <c r="F1054" t="s">
        <v>5</v>
      </c>
      <c r="G1054">
        <v>7686</v>
      </c>
      <c r="H1054">
        <v>9818</v>
      </c>
      <c r="I1054">
        <v>2.69</v>
      </c>
      <c r="J1054">
        <v>4</v>
      </c>
      <c r="K1054">
        <f t="shared" ref="K1054:K1055" ca="1" si="1109">IF(F1054="Enrolled", TODAY()-E1054, "")</f>
        <v>1249</v>
      </c>
      <c r="M1054">
        <f t="shared" ref="M1054:M1055" ca="1" si="1110">IF(F1054="Enrolled",TODAY() - E1054,"")</f>
        <v>1249</v>
      </c>
      <c r="N1054" t="str">
        <f t="shared" ref="N1054:N1055" si="1111">IF(I1056&gt;=3.5,"Excellent",IF(I1056&gt;=3,"Good",IF(I1056&gt;=2,"Average","Poor")))</f>
        <v>Average</v>
      </c>
      <c r="O1054" t="e">
        <f t="shared" ref="O1054:O1055" si="1112">VLOOKUP(D1054, $T$18:$U$23, 2, FALSE)</f>
        <v>#N/A</v>
      </c>
      <c r="P1054" t="str">
        <f t="shared" ref="P1054:P1055" si="1113">IF(H1054 &gt; 0.5 * G1054, "YES", "NO")</f>
        <v>YES</v>
      </c>
      <c r="Q1054">
        <f t="shared" si="1096"/>
        <v>98848</v>
      </c>
      <c r="R1054" t="str">
        <f t="shared" ref="R1054:R1055" si="1114">IF(MONTH(E1048)&gt;=6, YEAR(E1048) &amp; "-" &amp; YEAR(E1048)+1, YEAR(E1048)-1 &amp; "-" &amp; YEAR(E1048))</f>
        <v>2022-2023</v>
      </c>
    </row>
    <row r="1055" spans="1:18" x14ac:dyDescent="0.25">
      <c r="A1055" t="s">
        <v>2490</v>
      </c>
      <c r="B1055" t="s">
        <v>2491</v>
      </c>
      <c r="C1055" t="s">
        <v>55</v>
      </c>
      <c r="D1055" t="s">
        <v>3</v>
      </c>
      <c r="E1055" t="s">
        <v>2094</v>
      </c>
      <c r="F1055" t="s">
        <v>5</v>
      </c>
      <c r="G1055">
        <v>7121</v>
      </c>
      <c r="H1055">
        <v>7090</v>
      </c>
      <c r="I1055">
        <v>3.87</v>
      </c>
      <c r="J1055">
        <v>28</v>
      </c>
      <c r="K1055">
        <f t="shared" ca="1" si="1109"/>
        <v>1079</v>
      </c>
      <c r="M1055">
        <f t="shared" ca="1" si="1110"/>
        <v>1079</v>
      </c>
      <c r="N1055" t="str">
        <f t="shared" si="1111"/>
        <v>Good</v>
      </c>
      <c r="O1055" t="e">
        <f t="shared" si="1112"/>
        <v>#N/A</v>
      </c>
      <c r="P1055" t="str">
        <f t="shared" si="1113"/>
        <v>YES</v>
      </c>
      <c r="Q1055">
        <f t="shared" si="1096"/>
        <v>98848</v>
      </c>
      <c r="R1055" t="str">
        <f t="shared" si="1114"/>
        <v>2022-2023</v>
      </c>
    </row>
    <row r="1056" spans="1:18" hidden="1" x14ac:dyDescent="0.25">
      <c r="A1056" t="s">
        <v>2492</v>
      </c>
      <c r="B1056" t="s">
        <v>2493</v>
      </c>
      <c r="C1056" t="s">
        <v>8</v>
      </c>
      <c r="D1056" t="s">
        <v>25</v>
      </c>
      <c r="E1056" s="1">
        <v>45479</v>
      </c>
      <c r="F1056" t="s">
        <v>11</v>
      </c>
      <c r="G1056">
        <v>3813</v>
      </c>
      <c r="H1056">
        <v>1221</v>
      </c>
      <c r="I1056">
        <v>2.78</v>
      </c>
      <c r="J1056">
        <v>55</v>
      </c>
      <c r="Q1056">
        <f t="shared" si="1096"/>
        <v>98848</v>
      </c>
    </row>
    <row r="1057" spans="1:18" hidden="1" x14ac:dyDescent="0.25">
      <c r="A1057" t="s">
        <v>2494</v>
      </c>
      <c r="B1057" t="s">
        <v>2495</v>
      </c>
      <c r="C1057" t="s">
        <v>58</v>
      </c>
      <c r="D1057" t="s">
        <v>65</v>
      </c>
      <c r="E1057" t="s">
        <v>2197</v>
      </c>
      <c r="F1057" t="s">
        <v>11</v>
      </c>
      <c r="G1057">
        <v>5115</v>
      </c>
      <c r="H1057">
        <v>6700</v>
      </c>
      <c r="I1057">
        <v>3.09</v>
      </c>
      <c r="J1057">
        <v>35</v>
      </c>
      <c r="Q1057">
        <f t="shared" si="1096"/>
        <v>98848</v>
      </c>
    </row>
    <row r="1058" spans="1:18" x14ac:dyDescent="0.25">
      <c r="A1058" t="s">
        <v>2496</v>
      </c>
      <c r="B1058" t="s">
        <v>2497</v>
      </c>
      <c r="C1058" t="s">
        <v>32</v>
      </c>
      <c r="D1058" t="s">
        <v>9</v>
      </c>
      <c r="E1058" s="1">
        <v>45079</v>
      </c>
      <c r="F1058" t="s">
        <v>5</v>
      </c>
      <c r="G1058">
        <v>8897</v>
      </c>
      <c r="H1058">
        <v>2452</v>
      </c>
      <c r="I1058">
        <v>3.51</v>
      </c>
      <c r="J1058">
        <v>90</v>
      </c>
      <c r="K1058">
        <f t="shared" ref="K1058:K1059" ca="1" si="1115">IF(F1058="Enrolled", TODAY()-E1058, "")</f>
        <v>888</v>
      </c>
      <c r="M1058">
        <f t="shared" ref="M1058:M1059" ca="1" si="1116">IF(F1058="Enrolled",TODAY() - E1058,"")</f>
        <v>888</v>
      </c>
      <c r="N1058" t="str">
        <f t="shared" ref="N1058:N1059" si="1117">IF(I1060&gt;=3.5,"Excellent",IF(I1060&gt;=3,"Good",IF(I1060&gt;=2,"Average","Poor")))</f>
        <v>Average</v>
      </c>
      <c r="O1058" t="e">
        <f t="shared" ref="O1058:O1059" si="1118">VLOOKUP(D1058, $T$18:$U$23, 2, FALSE)</f>
        <v>#N/A</v>
      </c>
      <c r="P1058" t="str">
        <f t="shared" ref="P1058:P1059" si="1119">IF(H1058 &gt; 0.5 * G1058, "YES", "NO")</f>
        <v>NO</v>
      </c>
      <c r="Q1058">
        <f t="shared" si="1096"/>
        <v>98848</v>
      </c>
      <c r="R1058" t="str">
        <f t="shared" ref="R1058:R1059" si="1120">IF(MONTH(E1052)&gt;=6, YEAR(E1052) &amp; "-" &amp; YEAR(E1052)+1, YEAR(E1052)-1 &amp; "-" &amp; YEAR(E1052))</f>
        <v>2021-2022</v>
      </c>
    </row>
    <row r="1059" spans="1:18" x14ac:dyDescent="0.25">
      <c r="A1059" t="s">
        <v>2498</v>
      </c>
      <c r="B1059" t="s">
        <v>2499</v>
      </c>
      <c r="C1059" t="s">
        <v>21</v>
      </c>
      <c r="D1059" t="s">
        <v>25</v>
      </c>
      <c r="E1059" t="s">
        <v>946</v>
      </c>
      <c r="F1059" t="s">
        <v>5</v>
      </c>
      <c r="G1059">
        <v>10286</v>
      </c>
      <c r="H1059">
        <v>8637</v>
      </c>
      <c r="I1059">
        <v>2.17</v>
      </c>
      <c r="J1059">
        <v>76</v>
      </c>
      <c r="K1059">
        <f t="shared" ca="1" si="1115"/>
        <v>559</v>
      </c>
      <c r="M1059">
        <f t="shared" ca="1" si="1116"/>
        <v>559</v>
      </c>
      <c r="N1059" t="str">
        <f t="shared" si="1117"/>
        <v>Average</v>
      </c>
      <c r="O1059" t="e">
        <f t="shared" si="1118"/>
        <v>#N/A</v>
      </c>
      <c r="P1059" t="str">
        <f t="shared" si="1119"/>
        <v>YES</v>
      </c>
      <c r="Q1059">
        <f t="shared" si="1096"/>
        <v>98848</v>
      </c>
      <c r="R1059" t="str">
        <f t="shared" si="1120"/>
        <v>2022-2023</v>
      </c>
    </row>
    <row r="1060" spans="1:18" hidden="1" x14ac:dyDescent="0.25">
      <c r="A1060" t="s">
        <v>2500</v>
      </c>
      <c r="B1060" t="s">
        <v>2501</v>
      </c>
      <c r="C1060" t="s">
        <v>14</v>
      </c>
      <c r="D1060" t="s">
        <v>25</v>
      </c>
      <c r="E1060" t="s">
        <v>1952</v>
      </c>
      <c r="F1060" t="s">
        <v>11</v>
      </c>
      <c r="G1060">
        <v>6792</v>
      </c>
      <c r="H1060">
        <v>999</v>
      </c>
      <c r="I1060">
        <v>2.19</v>
      </c>
      <c r="J1060">
        <v>6</v>
      </c>
      <c r="Q1060">
        <f t="shared" si="1096"/>
        <v>98848</v>
      </c>
    </row>
    <row r="1061" spans="1:18" x14ac:dyDescent="0.25">
      <c r="A1061" t="s">
        <v>2502</v>
      </c>
      <c r="B1061" t="s">
        <v>2503</v>
      </c>
      <c r="C1061" t="s">
        <v>17</v>
      </c>
      <c r="D1061" t="s">
        <v>65</v>
      </c>
      <c r="E1061" t="s">
        <v>627</v>
      </c>
      <c r="F1061" t="s">
        <v>5</v>
      </c>
      <c r="G1061">
        <v>9636</v>
      </c>
      <c r="H1061">
        <v>8999</v>
      </c>
      <c r="I1061">
        <v>2.4900000000000002</v>
      </c>
      <c r="J1061">
        <v>46</v>
      </c>
      <c r="K1061">
        <f t="shared" ref="K1061:K1063" ca="1" si="1121">IF(F1061="Enrolled", TODAY()-E1061, "")</f>
        <v>985</v>
      </c>
      <c r="M1061">
        <f t="shared" ref="M1061:M1063" ca="1" si="1122">IF(F1061="Enrolled",TODAY() - E1061,"")</f>
        <v>985</v>
      </c>
      <c r="N1061" t="str">
        <f t="shared" ref="N1061:N1063" si="1123">IF(I1063&gt;=3.5,"Excellent",IF(I1063&gt;=3,"Good",IF(I1063&gt;=2,"Average","Poor")))</f>
        <v>Average</v>
      </c>
      <c r="O1061" t="e">
        <f t="shared" ref="O1061:O1063" si="1124">VLOOKUP(D1061, $T$18:$U$23, 2, FALSE)</f>
        <v>#N/A</v>
      </c>
      <c r="P1061" t="str">
        <f t="shared" ref="P1061:P1063" si="1125">IF(H1061 &gt; 0.5 * G1061, "YES", "NO")</f>
        <v>YES</v>
      </c>
      <c r="Q1061">
        <f t="shared" si="1096"/>
        <v>98848</v>
      </c>
      <c r="R1061" t="str">
        <f t="shared" ref="R1061:R1063" si="1126">IF(MONTH(E1055)&gt;=6, YEAR(E1055) &amp; "-" &amp; YEAR(E1055)+1, YEAR(E1055)-1 &amp; "-" &amp; YEAR(E1055))</f>
        <v>2022-2023</v>
      </c>
    </row>
    <row r="1062" spans="1:18" x14ac:dyDescent="0.25">
      <c r="A1062" t="s">
        <v>2504</v>
      </c>
      <c r="B1062" t="s">
        <v>2505</v>
      </c>
      <c r="C1062" t="s">
        <v>14</v>
      </c>
      <c r="D1062" t="s">
        <v>65</v>
      </c>
      <c r="E1062" s="1">
        <v>44621</v>
      </c>
      <c r="F1062" t="s">
        <v>5</v>
      </c>
      <c r="G1062">
        <v>14185</v>
      </c>
      <c r="H1062">
        <v>3785</v>
      </c>
      <c r="I1062">
        <v>3.14</v>
      </c>
      <c r="J1062">
        <v>84</v>
      </c>
      <c r="K1062">
        <f t="shared" ca="1" si="1121"/>
        <v>1346</v>
      </c>
      <c r="M1062">
        <f t="shared" ca="1" si="1122"/>
        <v>1346</v>
      </c>
      <c r="N1062" t="str">
        <f t="shared" si="1123"/>
        <v>Good</v>
      </c>
      <c r="O1062" t="e">
        <f t="shared" si="1124"/>
        <v>#N/A</v>
      </c>
      <c r="P1062" t="str">
        <f t="shared" si="1125"/>
        <v>NO</v>
      </c>
      <c r="Q1062">
        <f t="shared" si="1096"/>
        <v>98848</v>
      </c>
      <c r="R1062" t="str">
        <f t="shared" si="1126"/>
        <v>2024-2025</v>
      </c>
    </row>
    <row r="1063" spans="1:18" x14ac:dyDescent="0.25">
      <c r="A1063" t="s">
        <v>2506</v>
      </c>
      <c r="B1063" t="s">
        <v>2507</v>
      </c>
      <c r="C1063" t="s">
        <v>58</v>
      </c>
      <c r="D1063" t="s">
        <v>65</v>
      </c>
      <c r="E1063" t="s">
        <v>101</v>
      </c>
      <c r="F1063" t="s">
        <v>5</v>
      </c>
      <c r="G1063">
        <v>13293</v>
      </c>
      <c r="H1063">
        <v>9628</v>
      </c>
      <c r="I1063">
        <v>2.66</v>
      </c>
      <c r="J1063">
        <v>99</v>
      </c>
      <c r="K1063">
        <f t="shared" ca="1" si="1121"/>
        <v>876</v>
      </c>
      <c r="M1063">
        <f t="shared" ca="1" si="1122"/>
        <v>876</v>
      </c>
      <c r="N1063" t="str">
        <f t="shared" si="1123"/>
        <v>Excellent</v>
      </c>
      <c r="O1063" t="e">
        <f t="shared" si="1124"/>
        <v>#N/A</v>
      </c>
      <c r="P1063" t="str">
        <f t="shared" si="1125"/>
        <v>YES</v>
      </c>
      <c r="Q1063">
        <f t="shared" si="1096"/>
        <v>98848</v>
      </c>
      <c r="R1063" t="str">
        <f t="shared" si="1126"/>
        <v>2023-2024</v>
      </c>
    </row>
    <row r="1064" spans="1:18" hidden="1" x14ac:dyDescent="0.25">
      <c r="A1064" t="s">
        <v>2508</v>
      </c>
      <c r="B1064" t="s">
        <v>2509</v>
      </c>
      <c r="C1064" t="s">
        <v>58</v>
      </c>
      <c r="D1064" t="s">
        <v>9</v>
      </c>
      <c r="E1064" t="s">
        <v>2510</v>
      </c>
      <c r="F1064" t="s">
        <v>11</v>
      </c>
      <c r="G1064">
        <v>7446</v>
      </c>
      <c r="H1064">
        <v>4781</v>
      </c>
      <c r="I1064">
        <v>3.43</v>
      </c>
      <c r="J1064">
        <v>101</v>
      </c>
      <c r="Q1064">
        <f t="shared" si="1096"/>
        <v>98848</v>
      </c>
    </row>
    <row r="1065" spans="1:18" x14ac:dyDescent="0.25">
      <c r="A1065" t="s">
        <v>2511</v>
      </c>
      <c r="B1065" t="s">
        <v>2512</v>
      </c>
      <c r="C1065" t="s">
        <v>21</v>
      </c>
      <c r="D1065" t="s">
        <v>65</v>
      </c>
      <c r="E1065" t="s">
        <v>2513</v>
      </c>
      <c r="F1065" t="s">
        <v>5</v>
      </c>
      <c r="G1065">
        <v>11119</v>
      </c>
      <c r="H1065">
        <v>8712</v>
      </c>
      <c r="I1065">
        <v>3.96</v>
      </c>
      <c r="J1065">
        <v>103</v>
      </c>
      <c r="K1065">
        <f t="shared" ref="K1065:K1067" ca="1" si="1127">IF(F1065="Enrolled", TODAY()-E1065, "")</f>
        <v>1118</v>
      </c>
      <c r="M1065">
        <f t="shared" ref="M1065:M1067" ca="1" si="1128">IF(F1065="Enrolled",TODAY() - E1065,"")</f>
        <v>1118</v>
      </c>
      <c r="N1065" t="str">
        <f t="shared" ref="N1065:N1067" si="1129">IF(I1067&gt;=3.5,"Excellent",IF(I1067&gt;=3,"Good",IF(I1067&gt;=2,"Average","Poor")))</f>
        <v>Average</v>
      </c>
      <c r="O1065" t="e">
        <f t="shared" ref="O1065:O1067" si="1130">VLOOKUP(D1065, $T$18:$U$23, 2, FALSE)</f>
        <v>#N/A</v>
      </c>
      <c r="P1065" t="str">
        <f t="shared" ref="P1065:P1067" si="1131">IF(H1065 &gt; 0.5 * G1065, "YES", "NO")</f>
        <v>YES</v>
      </c>
      <c r="Q1065">
        <f t="shared" si="1096"/>
        <v>91402</v>
      </c>
      <c r="R1065" t="str">
        <f t="shared" ref="R1065:R1067" si="1132">IF(MONTH(E1059)&gt;=6, YEAR(E1059) &amp; "-" &amp; YEAR(E1059)+1, YEAR(E1059)-1 &amp; "-" &amp; YEAR(E1059))</f>
        <v>2023-2024</v>
      </c>
    </row>
    <row r="1066" spans="1:18" x14ac:dyDescent="0.25">
      <c r="A1066" t="s">
        <v>2514</v>
      </c>
      <c r="B1066" t="s">
        <v>2515</v>
      </c>
      <c r="C1066" t="s">
        <v>32</v>
      </c>
      <c r="D1066" t="s">
        <v>9</v>
      </c>
      <c r="E1066" s="1">
        <v>44601</v>
      </c>
      <c r="F1066" t="s">
        <v>5</v>
      </c>
      <c r="G1066">
        <v>13651</v>
      </c>
      <c r="H1066">
        <v>6144</v>
      </c>
      <c r="I1066">
        <v>3.84</v>
      </c>
      <c r="J1066">
        <v>76</v>
      </c>
      <c r="K1066">
        <f t="shared" ca="1" si="1127"/>
        <v>1366</v>
      </c>
      <c r="M1066">
        <f t="shared" ca="1" si="1128"/>
        <v>1366</v>
      </c>
      <c r="N1066" t="str">
        <f t="shared" si="1129"/>
        <v>Average</v>
      </c>
      <c r="O1066" t="e">
        <f t="shared" si="1130"/>
        <v>#N/A</v>
      </c>
      <c r="P1066" t="str">
        <f t="shared" si="1131"/>
        <v>NO</v>
      </c>
      <c r="Q1066">
        <f t="shared" si="1096"/>
        <v>91402</v>
      </c>
      <c r="R1066" t="str">
        <f t="shared" si="1132"/>
        <v>2023-2024</v>
      </c>
    </row>
    <row r="1067" spans="1:18" x14ac:dyDescent="0.25">
      <c r="A1067" t="s">
        <v>2516</v>
      </c>
      <c r="B1067" t="s">
        <v>2517</v>
      </c>
      <c r="C1067" t="s">
        <v>2</v>
      </c>
      <c r="D1067" t="s">
        <v>65</v>
      </c>
      <c r="E1067" s="1">
        <v>44598</v>
      </c>
      <c r="F1067" t="s">
        <v>5</v>
      </c>
      <c r="G1067">
        <v>4701</v>
      </c>
      <c r="H1067">
        <v>5681</v>
      </c>
      <c r="I1067">
        <v>2.84</v>
      </c>
      <c r="J1067">
        <v>44</v>
      </c>
      <c r="K1067">
        <f t="shared" ca="1" si="1127"/>
        <v>1369</v>
      </c>
      <c r="M1067">
        <f t="shared" ca="1" si="1128"/>
        <v>1369</v>
      </c>
      <c r="N1067" t="str">
        <f t="shared" si="1129"/>
        <v>Excellent</v>
      </c>
      <c r="O1067" t="e">
        <f t="shared" si="1130"/>
        <v>#N/A</v>
      </c>
      <c r="P1067" t="str">
        <f t="shared" si="1131"/>
        <v>YES</v>
      </c>
      <c r="Q1067">
        <f t="shared" si="1096"/>
        <v>91402</v>
      </c>
      <c r="R1067" t="str">
        <f t="shared" si="1132"/>
        <v>2022-2023</v>
      </c>
    </row>
    <row r="1068" spans="1:18" hidden="1" x14ac:dyDescent="0.25">
      <c r="A1068" t="s">
        <v>2518</v>
      </c>
      <c r="B1068" t="s">
        <v>2519</v>
      </c>
      <c r="C1068" t="s">
        <v>8</v>
      </c>
      <c r="D1068" t="s">
        <v>65</v>
      </c>
      <c r="E1068" t="s">
        <v>2520</v>
      </c>
      <c r="F1068" t="s">
        <v>36</v>
      </c>
      <c r="G1068">
        <v>9016</v>
      </c>
      <c r="H1068">
        <v>7292</v>
      </c>
      <c r="I1068">
        <v>2.7</v>
      </c>
      <c r="J1068">
        <v>5</v>
      </c>
      <c r="Q1068">
        <f t="shared" si="1096"/>
        <v>91402</v>
      </c>
    </row>
    <row r="1069" spans="1:18" hidden="1" x14ac:dyDescent="0.25">
      <c r="A1069" t="s">
        <v>2521</v>
      </c>
      <c r="B1069" t="s">
        <v>2522</v>
      </c>
      <c r="C1069" t="s">
        <v>55</v>
      </c>
      <c r="D1069" t="s">
        <v>9</v>
      </c>
      <c r="E1069" t="s">
        <v>2523</v>
      </c>
      <c r="F1069" t="s">
        <v>11</v>
      </c>
      <c r="G1069">
        <v>6208</v>
      </c>
      <c r="H1069">
        <v>6067</v>
      </c>
      <c r="I1069">
        <v>3.75</v>
      </c>
      <c r="J1069">
        <v>93</v>
      </c>
      <c r="Q1069">
        <f t="shared" si="1096"/>
        <v>91402</v>
      </c>
    </row>
    <row r="1070" spans="1:18" hidden="1" x14ac:dyDescent="0.25">
      <c r="A1070" t="s">
        <v>2524</v>
      </c>
      <c r="B1070" t="s">
        <v>2525</v>
      </c>
      <c r="C1070" t="s">
        <v>21</v>
      </c>
      <c r="D1070" t="s">
        <v>3</v>
      </c>
      <c r="E1070" t="s">
        <v>2526</v>
      </c>
      <c r="F1070" t="s">
        <v>11</v>
      </c>
      <c r="G1070">
        <v>5697</v>
      </c>
      <c r="H1070">
        <v>3573</v>
      </c>
      <c r="I1070">
        <v>3.77</v>
      </c>
      <c r="J1070">
        <v>79</v>
      </c>
      <c r="Q1070">
        <f t="shared" si="1096"/>
        <v>85194</v>
      </c>
    </row>
    <row r="1071" spans="1:18" x14ac:dyDescent="0.25">
      <c r="A1071" t="s">
        <v>2527</v>
      </c>
      <c r="B1071" t="s">
        <v>2528</v>
      </c>
      <c r="C1071" t="s">
        <v>14</v>
      </c>
      <c r="D1071" t="s">
        <v>25</v>
      </c>
      <c r="E1071" s="1">
        <v>44743</v>
      </c>
      <c r="F1071" t="s">
        <v>5</v>
      </c>
      <c r="G1071">
        <v>14742</v>
      </c>
      <c r="H1071">
        <v>445</v>
      </c>
      <c r="I1071">
        <v>2.5499999999999998</v>
      </c>
      <c r="J1071">
        <v>6</v>
      </c>
      <c r="K1071">
        <f t="shared" ref="K1071" ca="1" si="1133">IF(F1071="Enrolled", TODAY()-E1071, "")</f>
        <v>1224</v>
      </c>
      <c r="M1071">
        <f ca="1">IF(F1071="Enrolled",TODAY() - E1071,"")</f>
        <v>1224</v>
      </c>
      <c r="N1071" t="str">
        <f>IF(I1073&gt;=3.5,"Excellent",IF(I1073&gt;=3,"Good",IF(I1073&gt;=2,"Average","Poor")))</f>
        <v>Average</v>
      </c>
      <c r="O1071" t="e">
        <f>VLOOKUP(D1071, $T$18:$U$23, 2, FALSE)</f>
        <v>#N/A</v>
      </c>
      <c r="P1071" t="str">
        <f>IF(H1071 &gt; 0.5 * G1071, "YES", "NO")</f>
        <v>NO</v>
      </c>
      <c r="Q1071">
        <f t="shared" si="1096"/>
        <v>85194</v>
      </c>
      <c r="R1071" t="str">
        <f t="shared" ref="R1071" si="1134">IF(MONTH(E1065)&gt;=6, YEAR(E1065) &amp; "-" &amp; YEAR(E1065)+1, YEAR(E1065)-1 &amp; "-" &amp; YEAR(E1065))</f>
        <v>2022-2023</v>
      </c>
    </row>
    <row r="1072" spans="1:18" hidden="1" x14ac:dyDescent="0.25">
      <c r="A1072" t="s">
        <v>2529</v>
      </c>
      <c r="B1072" t="s">
        <v>2530</v>
      </c>
      <c r="C1072" t="s">
        <v>55</v>
      </c>
      <c r="D1072" t="s">
        <v>65</v>
      </c>
      <c r="E1072" t="s">
        <v>1467</v>
      </c>
      <c r="F1072" t="s">
        <v>11</v>
      </c>
      <c r="G1072">
        <v>2296</v>
      </c>
      <c r="H1072">
        <v>325</v>
      </c>
      <c r="I1072">
        <v>2.64</v>
      </c>
      <c r="J1072">
        <v>71</v>
      </c>
      <c r="Q1072">
        <f t="shared" si="1096"/>
        <v>85194</v>
      </c>
    </row>
    <row r="1073" spans="1:18" x14ac:dyDescent="0.25">
      <c r="A1073" t="s">
        <v>2531</v>
      </c>
      <c r="B1073" t="s">
        <v>2532</v>
      </c>
      <c r="C1073" t="s">
        <v>58</v>
      </c>
      <c r="D1073" t="s">
        <v>65</v>
      </c>
      <c r="E1073" s="1">
        <v>44937</v>
      </c>
      <c r="F1073" t="s">
        <v>5</v>
      </c>
      <c r="G1073">
        <v>10330</v>
      </c>
      <c r="H1073">
        <v>5973</v>
      </c>
      <c r="I1073">
        <v>2.65</v>
      </c>
      <c r="J1073">
        <v>50</v>
      </c>
      <c r="K1073">
        <f t="shared" ref="K1073" ca="1" si="1135">IF(F1073="Enrolled", TODAY()-E1073, "")</f>
        <v>1030</v>
      </c>
      <c r="M1073">
        <f ca="1">IF(F1073="Enrolled",TODAY() - E1073,"")</f>
        <v>1030</v>
      </c>
      <c r="N1073" t="str">
        <f>IF(I1075&gt;=3.5,"Excellent",IF(I1075&gt;=3,"Good",IF(I1075&gt;=2,"Average","Poor")))</f>
        <v>Average</v>
      </c>
      <c r="O1073" t="e">
        <f>VLOOKUP(D1073, $T$18:$U$23, 2, FALSE)</f>
        <v>#N/A</v>
      </c>
      <c r="P1073" t="str">
        <f>IF(H1073 &gt; 0.5 * G1073, "YES", "NO")</f>
        <v>YES</v>
      </c>
      <c r="Q1073">
        <f t="shared" si="1096"/>
        <v>85194</v>
      </c>
      <c r="R1073" t="str">
        <f t="shared" ref="R1073" si="1136">IF(MONTH(E1067)&gt;=6, YEAR(E1067) &amp; "-" &amp; YEAR(E1067)+1, YEAR(E1067)-1 &amp; "-" &amp; YEAR(E1067))</f>
        <v>2021-2022</v>
      </c>
    </row>
    <row r="1074" spans="1:18" hidden="1" x14ac:dyDescent="0.25">
      <c r="A1074" t="s">
        <v>2533</v>
      </c>
      <c r="B1074" t="s">
        <v>2534</v>
      </c>
      <c r="C1074" t="s">
        <v>21</v>
      </c>
      <c r="D1074" t="s">
        <v>3</v>
      </c>
      <c r="E1074" s="1">
        <v>45242</v>
      </c>
      <c r="F1074" t="s">
        <v>36</v>
      </c>
      <c r="G1074">
        <v>2000</v>
      </c>
      <c r="H1074">
        <v>8608</v>
      </c>
      <c r="I1074">
        <v>3.95</v>
      </c>
      <c r="J1074">
        <v>2</v>
      </c>
      <c r="Q1074">
        <f t="shared" si="1096"/>
        <v>85194</v>
      </c>
    </row>
    <row r="1075" spans="1:18" hidden="1" x14ac:dyDescent="0.25">
      <c r="A1075" t="s">
        <v>2535</v>
      </c>
      <c r="B1075" t="s">
        <v>2536</v>
      </c>
      <c r="C1075" t="s">
        <v>58</v>
      </c>
      <c r="D1075" t="s">
        <v>9</v>
      </c>
      <c r="E1075" t="s">
        <v>627</v>
      </c>
      <c r="F1075" t="s">
        <v>11</v>
      </c>
      <c r="G1075">
        <v>8970</v>
      </c>
      <c r="H1075">
        <v>6430</v>
      </c>
      <c r="I1075">
        <v>2.04</v>
      </c>
      <c r="J1075">
        <v>97</v>
      </c>
      <c r="Q1075">
        <f t="shared" si="1096"/>
        <v>85194</v>
      </c>
    </row>
    <row r="1076" spans="1:18" hidden="1" x14ac:dyDescent="0.25">
      <c r="A1076" t="s">
        <v>2537</v>
      </c>
      <c r="B1076" t="s">
        <v>2538</v>
      </c>
      <c r="C1076" t="s">
        <v>58</v>
      </c>
      <c r="D1076" t="s">
        <v>9</v>
      </c>
      <c r="E1076" t="s">
        <v>2539</v>
      </c>
      <c r="F1076" t="s">
        <v>11</v>
      </c>
      <c r="G1076">
        <v>5560</v>
      </c>
      <c r="H1076">
        <v>6629</v>
      </c>
      <c r="I1076">
        <v>2.4700000000000002</v>
      </c>
      <c r="J1076">
        <v>66</v>
      </c>
      <c r="Q1076">
        <f t="shared" si="1096"/>
        <v>76224</v>
      </c>
    </row>
    <row r="1077" spans="1:18" x14ac:dyDescent="0.25">
      <c r="A1077" t="s">
        <v>2540</v>
      </c>
      <c r="B1077" t="s">
        <v>2541</v>
      </c>
      <c r="C1077" t="s">
        <v>2</v>
      </c>
      <c r="D1077" t="s">
        <v>3</v>
      </c>
      <c r="E1077" t="s">
        <v>52</v>
      </c>
      <c r="F1077" t="s">
        <v>5</v>
      </c>
      <c r="G1077">
        <v>7903</v>
      </c>
      <c r="H1077">
        <v>897</v>
      </c>
      <c r="I1077">
        <v>2.0699999999999998</v>
      </c>
      <c r="J1077">
        <v>110</v>
      </c>
      <c r="K1077">
        <f t="shared" ref="K1077:K1078" ca="1" si="1137">IF(F1077="Enrolled", TODAY()-E1077, "")</f>
        <v>771</v>
      </c>
      <c r="M1077">
        <f t="shared" ref="M1077:M1078" ca="1" si="1138">IF(F1077="Enrolled",TODAY() - E1077,"")</f>
        <v>771</v>
      </c>
      <c r="N1077" t="str">
        <f t="shared" ref="N1077:N1078" si="1139">IF(I1079&gt;=3.5,"Excellent",IF(I1079&gt;=3,"Good",IF(I1079&gt;=2,"Average","Poor")))</f>
        <v>Good</v>
      </c>
      <c r="O1077" t="e">
        <f t="shared" ref="O1077:O1078" si="1140">VLOOKUP(D1077, $T$18:$U$23, 2, FALSE)</f>
        <v>#N/A</v>
      </c>
      <c r="P1077" t="str">
        <f t="shared" ref="P1077:P1078" si="1141">IF(H1077 &gt; 0.5 * G1077, "YES", "NO")</f>
        <v>NO</v>
      </c>
      <c r="Q1077">
        <f t="shared" si="1096"/>
        <v>70664</v>
      </c>
      <c r="R1077" t="str">
        <f t="shared" ref="R1077:R1078" si="1142">IF(MONTH(E1071)&gt;=6, YEAR(E1071) &amp; "-" &amp; YEAR(E1071)+1, YEAR(E1071)-1 &amp; "-" &amp; YEAR(E1071))</f>
        <v>2022-2023</v>
      </c>
    </row>
    <row r="1078" spans="1:18" x14ac:dyDescent="0.25">
      <c r="A1078" t="s">
        <v>2542</v>
      </c>
      <c r="B1078" t="s">
        <v>2543</v>
      </c>
      <c r="C1078" t="s">
        <v>58</v>
      </c>
      <c r="D1078" t="s">
        <v>25</v>
      </c>
      <c r="E1078" t="s">
        <v>2472</v>
      </c>
      <c r="F1078" t="s">
        <v>5</v>
      </c>
      <c r="G1078">
        <v>4119</v>
      </c>
      <c r="H1078">
        <v>8833</v>
      </c>
      <c r="I1078">
        <v>3.31</v>
      </c>
      <c r="J1078">
        <v>74</v>
      </c>
      <c r="K1078">
        <f t="shared" ca="1" si="1137"/>
        <v>863</v>
      </c>
      <c r="M1078">
        <f t="shared" ca="1" si="1138"/>
        <v>863</v>
      </c>
      <c r="N1078" t="str">
        <f t="shared" si="1139"/>
        <v>Average</v>
      </c>
      <c r="O1078" t="e">
        <f t="shared" si="1140"/>
        <v>#N/A</v>
      </c>
      <c r="P1078" t="str">
        <f t="shared" si="1141"/>
        <v>YES</v>
      </c>
      <c r="Q1078">
        <f t="shared" si="1096"/>
        <v>70664</v>
      </c>
      <c r="R1078" t="str">
        <f t="shared" si="1142"/>
        <v>2022-2023</v>
      </c>
    </row>
    <row r="1079" spans="1:18" hidden="1" x14ac:dyDescent="0.25">
      <c r="A1079" t="s">
        <v>2544</v>
      </c>
      <c r="B1079" t="s">
        <v>2545</v>
      </c>
      <c r="C1079" t="s">
        <v>21</v>
      </c>
      <c r="D1079" t="s">
        <v>65</v>
      </c>
      <c r="E1079" t="s">
        <v>470</v>
      </c>
      <c r="F1079" t="s">
        <v>36</v>
      </c>
      <c r="G1079">
        <v>7853</v>
      </c>
      <c r="H1079">
        <v>2032</v>
      </c>
      <c r="I1079">
        <v>3.33</v>
      </c>
      <c r="J1079">
        <v>96</v>
      </c>
      <c r="Q1079">
        <f t="shared" si="1096"/>
        <v>70664</v>
      </c>
    </row>
    <row r="1080" spans="1:18" hidden="1" x14ac:dyDescent="0.25">
      <c r="A1080" t="s">
        <v>2546</v>
      </c>
      <c r="B1080" t="s">
        <v>2547</v>
      </c>
      <c r="C1080" t="s">
        <v>2</v>
      </c>
      <c r="D1080" t="s">
        <v>3</v>
      </c>
      <c r="E1080" t="s">
        <v>988</v>
      </c>
      <c r="F1080" t="s">
        <v>36</v>
      </c>
      <c r="G1080">
        <v>7107</v>
      </c>
      <c r="H1080">
        <v>1911</v>
      </c>
      <c r="I1080">
        <v>2.87</v>
      </c>
      <c r="J1080">
        <v>73</v>
      </c>
      <c r="Q1080">
        <f t="shared" si="1096"/>
        <v>70664</v>
      </c>
    </row>
    <row r="1081" spans="1:18" x14ac:dyDescent="0.25">
      <c r="A1081" t="s">
        <v>2548</v>
      </c>
      <c r="B1081" t="s">
        <v>2549</v>
      </c>
      <c r="C1081" t="s">
        <v>8</v>
      </c>
      <c r="D1081" t="s">
        <v>9</v>
      </c>
      <c r="E1081" s="1">
        <v>45355</v>
      </c>
      <c r="F1081" t="s">
        <v>5</v>
      </c>
      <c r="G1081">
        <v>3245</v>
      </c>
      <c r="H1081">
        <v>6823</v>
      </c>
      <c r="I1081">
        <v>2.5</v>
      </c>
      <c r="J1081">
        <v>16</v>
      </c>
      <c r="K1081">
        <f t="shared" ref="K1081:K1084" ca="1" si="1143">IF(F1081="Enrolled", TODAY()-E1081, "")</f>
        <v>612</v>
      </c>
      <c r="M1081">
        <f t="shared" ref="M1081:M1084" ca="1" si="1144">IF(F1081="Enrolled",TODAY() - E1081,"")</f>
        <v>612</v>
      </c>
      <c r="N1081" t="str">
        <f t="shared" ref="N1081:N1084" si="1145">IF(I1083&gt;=3.5,"Excellent",IF(I1083&gt;=3,"Good",IF(I1083&gt;=2,"Average","Poor")))</f>
        <v>Average</v>
      </c>
      <c r="O1081" t="e">
        <f t="shared" ref="O1081:O1084" si="1146">VLOOKUP(D1081, $T$18:$U$23, 2, FALSE)</f>
        <v>#N/A</v>
      </c>
      <c r="P1081" t="str">
        <f t="shared" ref="P1081:P1084" si="1147">IF(H1081 &gt; 0.5 * G1081, "YES", "NO")</f>
        <v>YES</v>
      </c>
      <c r="Q1081">
        <f t="shared" si="1096"/>
        <v>70664</v>
      </c>
      <c r="R1081" t="str">
        <f t="shared" ref="R1081:R1084" si="1148">IF(MONTH(E1075)&gt;=6, YEAR(E1075) &amp; "-" &amp; YEAR(E1075)+1, YEAR(E1075)-1 &amp; "-" &amp; YEAR(E1075))</f>
        <v>2022-2023</v>
      </c>
    </row>
    <row r="1082" spans="1:18" x14ac:dyDescent="0.25">
      <c r="A1082" t="s">
        <v>2550</v>
      </c>
      <c r="B1082" t="s">
        <v>2551</v>
      </c>
      <c r="C1082" t="s">
        <v>8</v>
      </c>
      <c r="D1082" t="s">
        <v>3</v>
      </c>
      <c r="E1082" s="1">
        <v>45416</v>
      </c>
      <c r="F1082" t="s">
        <v>5</v>
      </c>
      <c r="G1082">
        <v>4892</v>
      </c>
      <c r="H1082">
        <v>7034</v>
      </c>
      <c r="I1082">
        <v>3.83</v>
      </c>
      <c r="J1082">
        <v>43</v>
      </c>
      <c r="K1082">
        <f t="shared" ca="1" si="1143"/>
        <v>551</v>
      </c>
      <c r="M1082">
        <f t="shared" ca="1" si="1144"/>
        <v>551</v>
      </c>
      <c r="N1082" t="str">
        <f t="shared" si="1145"/>
        <v>Excellent</v>
      </c>
      <c r="O1082" t="e">
        <f t="shared" si="1146"/>
        <v>#N/A</v>
      </c>
      <c r="P1082" t="str">
        <f t="shared" si="1147"/>
        <v>YES</v>
      </c>
      <c r="Q1082">
        <f t="shared" si="1096"/>
        <v>70664</v>
      </c>
      <c r="R1082" t="str">
        <f t="shared" si="1148"/>
        <v>2023-2024</v>
      </c>
    </row>
    <row r="1083" spans="1:18" x14ac:dyDescent="0.25">
      <c r="A1083" t="s">
        <v>2552</v>
      </c>
      <c r="B1083" t="s">
        <v>2553</v>
      </c>
      <c r="C1083" t="s">
        <v>55</v>
      </c>
      <c r="D1083" t="s">
        <v>65</v>
      </c>
      <c r="E1083" s="1">
        <v>44905</v>
      </c>
      <c r="F1083" t="s">
        <v>5</v>
      </c>
      <c r="G1083">
        <v>5130</v>
      </c>
      <c r="H1083">
        <v>9628</v>
      </c>
      <c r="I1083">
        <v>2.56</v>
      </c>
      <c r="J1083">
        <v>113</v>
      </c>
      <c r="K1083">
        <f t="shared" ca="1" si="1143"/>
        <v>1062</v>
      </c>
      <c r="M1083">
        <f t="shared" ca="1" si="1144"/>
        <v>1062</v>
      </c>
      <c r="N1083" t="str">
        <f t="shared" si="1145"/>
        <v>Good</v>
      </c>
      <c r="O1083" t="e">
        <f t="shared" si="1146"/>
        <v>#N/A</v>
      </c>
      <c r="P1083" t="str">
        <f t="shared" si="1147"/>
        <v>YES</v>
      </c>
      <c r="Q1083">
        <f t="shared" si="1096"/>
        <v>70664</v>
      </c>
      <c r="R1083" t="str">
        <f t="shared" si="1148"/>
        <v>2023-2024</v>
      </c>
    </row>
    <row r="1084" spans="1:18" x14ac:dyDescent="0.25">
      <c r="A1084" t="s">
        <v>2554</v>
      </c>
      <c r="B1084" t="s">
        <v>2555</v>
      </c>
      <c r="C1084" t="s">
        <v>17</v>
      </c>
      <c r="D1084" t="s">
        <v>65</v>
      </c>
      <c r="E1084" t="s">
        <v>94</v>
      </c>
      <c r="F1084" t="s">
        <v>5</v>
      </c>
      <c r="G1084">
        <v>12773</v>
      </c>
      <c r="H1084">
        <v>1546</v>
      </c>
      <c r="I1084">
        <v>3.89</v>
      </c>
      <c r="J1084">
        <v>96</v>
      </c>
      <c r="K1084">
        <f t="shared" ca="1" si="1143"/>
        <v>1136</v>
      </c>
      <c r="M1084">
        <f t="shared" ca="1" si="1144"/>
        <v>1136</v>
      </c>
      <c r="N1084" t="str">
        <f t="shared" si="1145"/>
        <v>Excellent</v>
      </c>
      <c r="O1084" t="e">
        <f t="shared" si="1146"/>
        <v>#N/A</v>
      </c>
      <c r="P1084" t="str">
        <f t="shared" si="1147"/>
        <v>NO</v>
      </c>
      <c r="Q1084">
        <f t="shared" si="1096"/>
        <v>70664</v>
      </c>
      <c r="R1084" t="str">
        <f t="shared" si="1148"/>
        <v>2023-2024</v>
      </c>
    </row>
    <row r="1085" spans="1:18" hidden="1" x14ac:dyDescent="0.25">
      <c r="A1085" t="s">
        <v>2556</v>
      </c>
      <c r="B1085" t="s">
        <v>2557</v>
      </c>
      <c r="C1085" t="s">
        <v>55</v>
      </c>
      <c r="D1085" t="s">
        <v>9</v>
      </c>
      <c r="E1085" t="s">
        <v>1064</v>
      </c>
      <c r="F1085" t="s">
        <v>11</v>
      </c>
      <c r="G1085">
        <v>11415</v>
      </c>
      <c r="H1085">
        <v>2626</v>
      </c>
      <c r="I1085">
        <v>3.4</v>
      </c>
      <c r="J1085">
        <v>5</v>
      </c>
      <c r="Q1085">
        <f t="shared" si="1096"/>
        <v>70664</v>
      </c>
    </row>
    <row r="1086" spans="1:18" x14ac:dyDescent="0.25">
      <c r="A1086" t="s">
        <v>2558</v>
      </c>
      <c r="B1086" t="s">
        <v>2559</v>
      </c>
      <c r="C1086" t="s">
        <v>55</v>
      </c>
      <c r="D1086" t="s">
        <v>65</v>
      </c>
      <c r="E1086" t="s">
        <v>68</v>
      </c>
      <c r="F1086" t="s">
        <v>5</v>
      </c>
      <c r="G1086">
        <v>8463</v>
      </c>
      <c r="H1086">
        <v>6739</v>
      </c>
      <c r="I1086">
        <v>3.87</v>
      </c>
      <c r="J1086">
        <v>33</v>
      </c>
      <c r="K1086">
        <f t="shared" ref="K1086:K1088" ca="1" si="1149">IF(F1086="Enrolled", TODAY()-E1086, "")</f>
        <v>1195</v>
      </c>
      <c r="M1086">
        <f t="shared" ref="M1086:M1088" ca="1" si="1150">IF(F1086="Enrolled",TODAY() - E1086,"")</f>
        <v>1195</v>
      </c>
      <c r="N1086" t="str">
        <f t="shared" ref="N1086:N1088" si="1151">IF(I1088&gt;=3.5,"Excellent",IF(I1088&gt;=3,"Good",IF(I1088&gt;=2,"Average","Poor")))</f>
        <v>Excellent</v>
      </c>
      <c r="O1086" t="e">
        <f t="shared" ref="O1086:O1088" si="1152">VLOOKUP(D1086, $T$18:$U$23, 2, FALSE)</f>
        <v>#N/A</v>
      </c>
      <c r="P1086" t="str">
        <f t="shared" ref="P1086:P1088" si="1153">IF(H1086 &gt; 0.5 * G1086, "YES", "NO")</f>
        <v>YES</v>
      </c>
      <c r="Q1086">
        <f t="shared" si="1096"/>
        <v>59249</v>
      </c>
      <c r="R1086" t="str">
        <f t="shared" ref="R1086:R1088" si="1154">IF(MONTH(E1080)&gt;=6, YEAR(E1080) &amp; "-" &amp; YEAR(E1080)+1, YEAR(E1080)-1 &amp; "-" &amp; YEAR(E1080))</f>
        <v>2022-2023</v>
      </c>
    </row>
    <row r="1087" spans="1:18" x14ac:dyDescent="0.25">
      <c r="A1087" t="s">
        <v>2560</v>
      </c>
      <c r="B1087" t="s">
        <v>2561</v>
      </c>
      <c r="C1087" t="s">
        <v>32</v>
      </c>
      <c r="D1087" t="s">
        <v>65</v>
      </c>
      <c r="E1087" t="s">
        <v>404</v>
      </c>
      <c r="F1087" t="s">
        <v>5</v>
      </c>
      <c r="G1087">
        <v>13713</v>
      </c>
      <c r="H1087">
        <v>3304</v>
      </c>
      <c r="I1087">
        <v>3.81</v>
      </c>
      <c r="J1087">
        <v>54</v>
      </c>
      <c r="K1087">
        <f t="shared" ca="1" si="1149"/>
        <v>1349</v>
      </c>
      <c r="M1087">
        <f t="shared" ca="1" si="1150"/>
        <v>1349</v>
      </c>
      <c r="N1087" t="str">
        <f t="shared" si="1151"/>
        <v>Excellent</v>
      </c>
      <c r="O1087" t="e">
        <f t="shared" si="1152"/>
        <v>#N/A</v>
      </c>
      <c r="P1087" t="str">
        <f t="shared" si="1153"/>
        <v>NO</v>
      </c>
      <c r="Q1087">
        <f t="shared" si="1096"/>
        <v>59249</v>
      </c>
      <c r="R1087" t="str">
        <f t="shared" si="1154"/>
        <v>2023-2024</v>
      </c>
    </row>
    <row r="1088" spans="1:18" x14ac:dyDescent="0.25">
      <c r="A1088" t="s">
        <v>2562</v>
      </c>
      <c r="B1088" t="s">
        <v>2563</v>
      </c>
      <c r="C1088" t="s">
        <v>21</v>
      </c>
      <c r="D1088" t="s">
        <v>65</v>
      </c>
      <c r="E1088" s="1">
        <v>44594</v>
      </c>
      <c r="F1088" t="s">
        <v>5</v>
      </c>
      <c r="G1088">
        <v>10725</v>
      </c>
      <c r="H1088">
        <v>6124</v>
      </c>
      <c r="I1088">
        <v>3.94</v>
      </c>
      <c r="J1088">
        <v>41</v>
      </c>
      <c r="K1088">
        <f t="shared" ca="1" si="1149"/>
        <v>1373</v>
      </c>
      <c r="M1088">
        <f t="shared" ca="1" si="1150"/>
        <v>1373</v>
      </c>
      <c r="N1088" t="str">
        <f t="shared" si="1151"/>
        <v>Good</v>
      </c>
      <c r="O1088" t="e">
        <f t="shared" si="1152"/>
        <v>#N/A</v>
      </c>
      <c r="P1088" t="str">
        <f t="shared" si="1153"/>
        <v>YES</v>
      </c>
      <c r="Q1088">
        <f t="shared" si="1096"/>
        <v>59249</v>
      </c>
      <c r="R1088" t="str">
        <f t="shared" si="1154"/>
        <v>2023-2024</v>
      </c>
    </row>
    <row r="1089" spans="1:18" hidden="1" x14ac:dyDescent="0.25">
      <c r="A1089" t="s">
        <v>2564</v>
      </c>
      <c r="B1089" t="s">
        <v>2565</v>
      </c>
      <c r="C1089" t="s">
        <v>8</v>
      </c>
      <c r="D1089" t="s">
        <v>65</v>
      </c>
      <c r="E1089" t="s">
        <v>1500</v>
      </c>
      <c r="F1089" t="s">
        <v>36</v>
      </c>
      <c r="G1089">
        <v>11630</v>
      </c>
      <c r="H1089">
        <v>7578</v>
      </c>
      <c r="I1089">
        <v>3.65</v>
      </c>
      <c r="J1089">
        <v>111</v>
      </c>
      <c r="Q1089">
        <f t="shared" si="1096"/>
        <v>59249</v>
      </c>
    </row>
    <row r="1090" spans="1:18" x14ac:dyDescent="0.25">
      <c r="A1090" t="s">
        <v>2566</v>
      </c>
      <c r="B1090" t="s">
        <v>2567</v>
      </c>
      <c r="C1090" t="s">
        <v>55</v>
      </c>
      <c r="D1090" t="s">
        <v>25</v>
      </c>
      <c r="E1090" s="1">
        <v>45296</v>
      </c>
      <c r="F1090" t="s">
        <v>5</v>
      </c>
      <c r="G1090">
        <v>12478</v>
      </c>
      <c r="H1090">
        <v>8335</v>
      </c>
      <c r="I1090">
        <v>3.01</v>
      </c>
      <c r="J1090">
        <v>22</v>
      </c>
      <c r="K1090">
        <f t="shared" ref="K1090" ca="1" si="1155">IF(F1090="Enrolled", TODAY()-E1090, "")</f>
        <v>671</v>
      </c>
      <c r="M1090">
        <f ca="1">IF(F1090="Enrolled",TODAY() - E1090,"")</f>
        <v>671</v>
      </c>
      <c r="N1090" t="str">
        <f>IF(I1092&gt;=3.5,"Excellent",IF(I1092&gt;=3,"Good",IF(I1092&gt;=2,"Average","Poor")))</f>
        <v>Average</v>
      </c>
      <c r="O1090" t="e">
        <f>VLOOKUP(D1090, $T$18:$U$23, 2, FALSE)</f>
        <v>#N/A</v>
      </c>
      <c r="P1090" t="str">
        <f>IF(H1090 &gt; 0.5 * G1090, "YES", "NO")</f>
        <v>YES</v>
      </c>
      <c r="Q1090">
        <f t="shared" si="1096"/>
        <v>59249</v>
      </c>
      <c r="R1090" t="str">
        <f t="shared" ref="R1090" si="1156">IF(MONTH(E1084)&gt;=6, YEAR(E1084) &amp; "-" &amp; YEAR(E1084)+1, YEAR(E1084)-1 &amp; "-" &amp; YEAR(E1084))</f>
        <v>2022-2023</v>
      </c>
    </row>
    <row r="1091" spans="1:18" hidden="1" x14ac:dyDescent="0.25">
      <c r="A1091" t="s">
        <v>2568</v>
      </c>
      <c r="B1091" t="s">
        <v>2569</v>
      </c>
      <c r="C1091" t="s">
        <v>14</v>
      </c>
      <c r="D1091" t="s">
        <v>65</v>
      </c>
      <c r="E1091" t="s">
        <v>649</v>
      </c>
      <c r="F1091" t="s">
        <v>36</v>
      </c>
      <c r="G1091">
        <v>8685</v>
      </c>
      <c r="H1091">
        <v>2204</v>
      </c>
      <c r="I1091">
        <v>2.29</v>
      </c>
      <c r="J1091">
        <v>1</v>
      </c>
      <c r="Q1091">
        <f t="shared" si="1096"/>
        <v>59249</v>
      </c>
    </row>
    <row r="1092" spans="1:18" x14ac:dyDescent="0.25">
      <c r="A1092" t="s">
        <v>2570</v>
      </c>
      <c r="B1092" t="s">
        <v>2571</v>
      </c>
      <c r="C1092" t="s">
        <v>32</v>
      </c>
      <c r="D1092" t="s">
        <v>65</v>
      </c>
      <c r="E1092" t="s">
        <v>1166</v>
      </c>
      <c r="F1092" t="s">
        <v>5</v>
      </c>
      <c r="G1092">
        <v>6591</v>
      </c>
      <c r="H1092">
        <v>8495</v>
      </c>
      <c r="I1092">
        <v>2.29</v>
      </c>
      <c r="J1092">
        <v>46</v>
      </c>
      <c r="K1092">
        <f t="shared" ref="K1092:K1094" ca="1" si="1157">IF(F1092="Enrolled", TODAY()-E1092, "")</f>
        <v>984</v>
      </c>
      <c r="M1092">
        <f t="shared" ref="M1092:M1094" ca="1" si="1158">IF(F1092="Enrolled",TODAY() - E1092,"")</f>
        <v>984</v>
      </c>
      <c r="N1092" t="str">
        <f t="shared" ref="N1092:N1094" si="1159">IF(I1094&gt;=3.5,"Excellent",IF(I1094&gt;=3,"Good",IF(I1094&gt;=2,"Average","Poor")))</f>
        <v>Average</v>
      </c>
      <c r="O1092" t="e">
        <f t="shared" ref="O1092:O1094" si="1160">VLOOKUP(D1092, $T$18:$U$23, 2, FALSE)</f>
        <v>#N/A</v>
      </c>
      <c r="P1092" t="str">
        <f t="shared" ref="P1092:P1094" si="1161">IF(H1092 &gt; 0.5 * G1092, "YES", "NO")</f>
        <v>YES</v>
      </c>
      <c r="Q1092">
        <f t="shared" si="1096"/>
        <v>59249</v>
      </c>
      <c r="R1092" t="str">
        <f t="shared" ref="R1092:R1094" si="1162">IF(MONTH(E1086)&gt;=6, YEAR(E1086) &amp; "-" &amp; YEAR(E1086)+1, YEAR(E1086)-1 &amp; "-" &amp; YEAR(E1086))</f>
        <v>2022-2023</v>
      </c>
    </row>
    <row r="1093" spans="1:18" x14ac:dyDescent="0.25">
      <c r="A1093" t="s">
        <v>2572</v>
      </c>
      <c r="B1093" t="s">
        <v>2573</v>
      </c>
      <c r="C1093" t="s">
        <v>32</v>
      </c>
      <c r="D1093" t="s">
        <v>65</v>
      </c>
      <c r="E1093" t="s">
        <v>1166</v>
      </c>
      <c r="F1093" t="s">
        <v>5</v>
      </c>
      <c r="G1093">
        <v>8141</v>
      </c>
      <c r="H1093">
        <v>7905</v>
      </c>
      <c r="I1093">
        <v>2.77</v>
      </c>
      <c r="J1093">
        <v>46</v>
      </c>
      <c r="K1093">
        <f t="shared" ca="1" si="1157"/>
        <v>984</v>
      </c>
      <c r="M1093">
        <f t="shared" ca="1" si="1158"/>
        <v>984</v>
      </c>
      <c r="N1093" t="str">
        <f t="shared" si="1159"/>
        <v>Average</v>
      </c>
      <c r="O1093" t="e">
        <f t="shared" si="1160"/>
        <v>#N/A</v>
      </c>
      <c r="P1093" t="str">
        <f t="shared" si="1161"/>
        <v>YES</v>
      </c>
      <c r="Q1093">
        <f t="shared" si="1096"/>
        <v>59249</v>
      </c>
      <c r="R1093" t="str">
        <f t="shared" si="1162"/>
        <v>2021-2022</v>
      </c>
    </row>
    <row r="1094" spans="1:18" x14ac:dyDescent="0.25">
      <c r="A1094" t="s">
        <v>2574</v>
      </c>
      <c r="B1094" t="s">
        <v>2575</v>
      </c>
      <c r="C1094" t="s">
        <v>8</v>
      </c>
      <c r="D1094" t="s">
        <v>25</v>
      </c>
      <c r="E1094" t="s">
        <v>2576</v>
      </c>
      <c r="F1094" t="s">
        <v>5</v>
      </c>
      <c r="G1094">
        <v>3019</v>
      </c>
      <c r="H1094">
        <v>6321</v>
      </c>
      <c r="I1094">
        <v>2.82</v>
      </c>
      <c r="J1094">
        <v>79</v>
      </c>
      <c r="K1094">
        <f t="shared" ca="1" si="1157"/>
        <v>1332</v>
      </c>
      <c r="M1094">
        <f t="shared" ca="1" si="1158"/>
        <v>1332</v>
      </c>
      <c r="N1094" t="str">
        <f t="shared" si="1159"/>
        <v>Excellent</v>
      </c>
      <c r="O1094" t="e">
        <f t="shared" si="1160"/>
        <v>#N/A</v>
      </c>
      <c r="P1094" t="str">
        <f t="shared" si="1161"/>
        <v>YES</v>
      </c>
      <c r="Q1094">
        <f t="shared" si="1096"/>
        <v>59249</v>
      </c>
      <c r="R1094" t="str">
        <f t="shared" si="1162"/>
        <v>2021-2022</v>
      </c>
    </row>
    <row r="1095" spans="1:18" hidden="1" x14ac:dyDescent="0.25">
      <c r="A1095" t="s">
        <v>2577</v>
      </c>
      <c r="B1095" t="s">
        <v>2578</v>
      </c>
      <c r="C1095" t="s">
        <v>58</v>
      </c>
      <c r="D1095" t="s">
        <v>25</v>
      </c>
      <c r="E1095" t="s">
        <v>2579</v>
      </c>
      <c r="F1095" t="s">
        <v>11</v>
      </c>
      <c r="G1095">
        <v>8929</v>
      </c>
      <c r="H1095">
        <v>7083</v>
      </c>
      <c r="I1095">
        <v>2.68</v>
      </c>
      <c r="J1095">
        <v>104</v>
      </c>
      <c r="Q1095">
        <f t="shared" si="1096"/>
        <v>59249</v>
      </c>
    </row>
    <row r="1096" spans="1:18" x14ac:dyDescent="0.25">
      <c r="A1096" t="s">
        <v>2580</v>
      </c>
      <c r="B1096" t="s">
        <v>2581</v>
      </c>
      <c r="C1096" t="s">
        <v>58</v>
      </c>
      <c r="D1096" t="s">
        <v>65</v>
      </c>
      <c r="E1096" t="s">
        <v>997</v>
      </c>
      <c r="F1096" t="s">
        <v>5</v>
      </c>
      <c r="G1096">
        <v>11878</v>
      </c>
      <c r="H1096">
        <v>4182</v>
      </c>
      <c r="I1096">
        <v>3.52</v>
      </c>
      <c r="J1096">
        <v>96</v>
      </c>
      <c r="K1096">
        <f t="shared" ref="K1096" ca="1" si="1163">IF(F1096="Enrolled", TODAY()-E1096, "")</f>
        <v>1391</v>
      </c>
      <c r="M1096">
        <f ca="1">IF(F1096="Enrolled",TODAY() - E1096,"")</f>
        <v>1391</v>
      </c>
      <c r="N1096" t="str">
        <f>IF(I1098&gt;=3.5,"Excellent",IF(I1098&gt;=3,"Good",IF(I1098&gt;=2,"Average","Poor")))</f>
        <v>Good</v>
      </c>
      <c r="O1096" t="e">
        <f>VLOOKUP(D1096, $T$18:$U$23, 2, FALSE)</f>
        <v>#N/A</v>
      </c>
      <c r="P1096" t="str">
        <f>IF(H1096 &gt; 0.5 * G1096, "YES", "NO")</f>
        <v>NO</v>
      </c>
      <c r="Q1096">
        <f t="shared" si="1096"/>
        <v>59249</v>
      </c>
      <c r="R1096" t="str">
        <f t="shared" ref="R1096" si="1164">IF(MONTH(E1090)&gt;=6, YEAR(E1090) &amp; "-" &amp; YEAR(E1090)+1, YEAR(E1090)-1 &amp; "-" &amp; YEAR(E1090))</f>
        <v>2023-2024</v>
      </c>
    </row>
    <row r="1097" spans="1:18" hidden="1" x14ac:dyDescent="0.25">
      <c r="A1097" t="s">
        <v>2582</v>
      </c>
      <c r="B1097" t="s">
        <v>2583</v>
      </c>
      <c r="C1097" t="s">
        <v>32</v>
      </c>
      <c r="D1097" t="s">
        <v>3</v>
      </c>
      <c r="E1097" t="s">
        <v>353</v>
      </c>
      <c r="F1097" t="s">
        <v>11</v>
      </c>
      <c r="G1097">
        <v>11961</v>
      </c>
      <c r="H1097">
        <v>8528</v>
      </c>
      <c r="I1097">
        <v>3.72</v>
      </c>
      <c r="J1097">
        <v>16</v>
      </c>
      <c r="Q1097">
        <f t="shared" si="1096"/>
        <v>59249</v>
      </c>
    </row>
    <row r="1098" spans="1:18" hidden="1" x14ac:dyDescent="0.25">
      <c r="A1098" t="s">
        <v>2584</v>
      </c>
      <c r="B1098" t="s">
        <v>2585</v>
      </c>
      <c r="C1098" t="s">
        <v>2</v>
      </c>
      <c r="D1098" t="s">
        <v>3</v>
      </c>
      <c r="E1098" s="1">
        <v>44810</v>
      </c>
      <c r="F1098" t="s">
        <v>11</v>
      </c>
      <c r="G1098">
        <v>14062</v>
      </c>
      <c r="H1098">
        <v>9193</v>
      </c>
      <c r="I1098">
        <v>3.07</v>
      </c>
      <c r="J1098">
        <v>103</v>
      </c>
      <c r="Q1098">
        <f t="shared" si="1096"/>
        <v>59249</v>
      </c>
    </row>
    <row r="1099" spans="1:18" hidden="1" x14ac:dyDescent="0.25">
      <c r="A1099" t="s">
        <v>2586</v>
      </c>
      <c r="B1099" t="s">
        <v>2587</v>
      </c>
      <c r="C1099" t="s">
        <v>58</v>
      </c>
      <c r="D1099" t="s">
        <v>25</v>
      </c>
      <c r="E1099" s="1">
        <v>44750</v>
      </c>
      <c r="F1099" t="s">
        <v>11</v>
      </c>
      <c r="G1099">
        <v>7312</v>
      </c>
      <c r="H1099">
        <v>8464</v>
      </c>
      <c r="I1099">
        <v>2.74</v>
      </c>
      <c r="J1099">
        <v>104</v>
      </c>
      <c r="Q1099">
        <f t="shared" si="1096"/>
        <v>59249</v>
      </c>
    </row>
    <row r="1100" spans="1:18" x14ac:dyDescent="0.25">
      <c r="A1100" t="s">
        <v>2588</v>
      </c>
      <c r="B1100" t="s">
        <v>2589</v>
      </c>
      <c r="C1100" t="s">
        <v>58</v>
      </c>
      <c r="D1100" t="s">
        <v>25</v>
      </c>
      <c r="E1100" s="1">
        <v>45111</v>
      </c>
      <c r="F1100" t="s">
        <v>5</v>
      </c>
      <c r="G1100">
        <v>5745</v>
      </c>
      <c r="H1100">
        <v>499</v>
      </c>
      <c r="I1100">
        <v>3.1</v>
      </c>
      <c r="J1100">
        <v>31</v>
      </c>
      <c r="K1100">
        <f t="shared" ref="K1100" ca="1" si="1165">IF(F1100="Enrolled", TODAY()-E1100, "")</f>
        <v>856</v>
      </c>
      <c r="M1100">
        <f ca="1">IF(F1100="Enrolled",TODAY() - E1100,"")</f>
        <v>856</v>
      </c>
      <c r="N1100" t="str">
        <f>IF(I1102&gt;=3.5,"Excellent",IF(I1102&gt;=3,"Good",IF(I1102&gt;=2,"Average","Poor")))</f>
        <v>Excellent</v>
      </c>
      <c r="O1100" t="e">
        <f>VLOOKUP(D1100, $T$18:$U$23, 2, FALSE)</f>
        <v>#N/A</v>
      </c>
      <c r="P1100" t="str">
        <f>IF(H1100 &gt; 0.5 * G1100, "YES", "NO")</f>
        <v>NO</v>
      </c>
      <c r="Q1100">
        <f t="shared" si="1096"/>
        <v>59249</v>
      </c>
      <c r="R1100" t="str">
        <f t="shared" ref="R1100" si="1166">IF(MONTH(E1094)&gt;=6, YEAR(E1094) &amp; "-" &amp; YEAR(E1094)+1, YEAR(E1094)-1 &amp; "-" &amp; YEAR(E1094))</f>
        <v>2021-2022</v>
      </c>
    </row>
    <row r="1101" spans="1:18" hidden="1" x14ac:dyDescent="0.25">
      <c r="A1101" t="s">
        <v>2590</v>
      </c>
      <c r="B1101" t="s">
        <v>2591</v>
      </c>
      <c r="C1101" t="s">
        <v>8</v>
      </c>
      <c r="D1101" t="s">
        <v>65</v>
      </c>
      <c r="E1101" t="s">
        <v>973</v>
      </c>
      <c r="F1101" t="s">
        <v>36</v>
      </c>
      <c r="G1101">
        <v>6844</v>
      </c>
      <c r="H1101">
        <v>1405</v>
      </c>
      <c r="I1101">
        <v>3.05</v>
      </c>
      <c r="J1101">
        <v>44</v>
      </c>
      <c r="Q1101">
        <f t="shared" ref="Q1101:Q1164" si="1167">SUMIFS(G1101:G2299, F1101:F2299, "Completed", D1101:D2299, "Science")</f>
        <v>59249</v>
      </c>
    </row>
    <row r="1102" spans="1:18" x14ac:dyDescent="0.25">
      <c r="A1102" t="s">
        <v>2592</v>
      </c>
      <c r="B1102" t="s">
        <v>2593</v>
      </c>
      <c r="C1102" t="s">
        <v>58</v>
      </c>
      <c r="D1102" t="s">
        <v>9</v>
      </c>
      <c r="E1102" s="1">
        <v>44872</v>
      </c>
      <c r="F1102" t="s">
        <v>5</v>
      </c>
      <c r="G1102">
        <v>13054</v>
      </c>
      <c r="H1102">
        <v>4741</v>
      </c>
      <c r="I1102">
        <v>3.54</v>
      </c>
      <c r="J1102">
        <v>31</v>
      </c>
      <c r="K1102">
        <f t="shared" ref="K1102:K1103" ca="1" si="1168">IF(F1102="Enrolled", TODAY()-E1102, "")</f>
        <v>1095</v>
      </c>
      <c r="M1102">
        <f t="shared" ref="M1102:M1103" ca="1" si="1169">IF(F1102="Enrolled",TODAY() - E1102,"")</f>
        <v>1095</v>
      </c>
      <c r="N1102" t="str">
        <f t="shared" ref="N1102:N1103" si="1170">IF(I1104&gt;=3.5,"Excellent",IF(I1104&gt;=3,"Good",IF(I1104&gt;=2,"Average","Poor")))</f>
        <v>Average</v>
      </c>
      <c r="O1102" t="e">
        <f t="shared" ref="O1102:O1103" si="1171">VLOOKUP(D1102, $T$18:$U$23, 2, FALSE)</f>
        <v>#N/A</v>
      </c>
      <c r="P1102" t="str">
        <f t="shared" ref="P1102:P1103" si="1172">IF(H1102 &gt; 0.5 * G1102, "YES", "NO")</f>
        <v>NO</v>
      </c>
      <c r="Q1102">
        <f t="shared" si="1167"/>
        <v>59249</v>
      </c>
      <c r="R1102" t="str">
        <f t="shared" ref="R1102:R1103" si="1173">IF(MONTH(E1096)&gt;=6, YEAR(E1096) &amp; "-" &amp; YEAR(E1096)+1, YEAR(E1096)-1 &amp; "-" &amp; YEAR(E1096))</f>
        <v>2021-2022</v>
      </c>
    </row>
    <row r="1103" spans="1:18" x14ac:dyDescent="0.25">
      <c r="A1103" t="s">
        <v>2594</v>
      </c>
      <c r="B1103" t="s">
        <v>2595</v>
      </c>
      <c r="C1103" t="s">
        <v>32</v>
      </c>
      <c r="D1103" t="s">
        <v>25</v>
      </c>
      <c r="E1103" t="s">
        <v>1422</v>
      </c>
      <c r="F1103" t="s">
        <v>5</v>
      </c>
      <c r="G1103">
        <v>10986</v>
      </c>
      <c r="H1103">
        <v>8048</v>
      </c>
      <c r="I1103">
        <v>3.16</v>
      </c>
      <c r="J1103">
        <v>70</v>
      </c>
      <c r="K1103">
        <f t="shared" ca="1" si="1168"/>
        <v>960</v>
      </c>
      <c r="M1103">
        <f t="shared" ca="1" si="1169"/>
        <v>960</v>
      </c>
      <c r="N1103" t="str">
        <f t="shared" si="1170"/>
        <v>Average</v>
      </c>
      <c r="O1103" t="e">
        <f t="shared" si="1171"/>
        <v>#N/A</v>
      </c>
      <c r="P1103" t="str">
        <f t="shared" si="1172"/>
        <v>YES</v>
      </c>
      <c r="Q1103">
        <f t="shared" si="1167"/>
        <v>59249</v>
      </c>
      <c r="R1103" t="str">
        <f t="shared" si="1173"/>
        <v>2023-2024</v>
      </c>
    </row>
    <row r="1104" spans="1:18" hidden="1" x14ac:dyDescent="0.25">
      <c r="A1104" t="s">
        <v>2596</v>
      </c>
      <c r="B1104" t="s">
        <v>2597</v>
      </c>
      <c r="C1104" t="s">
        <v>8</v>
      </c>
      <c r="D1104" t="s">
        <v>9</v>
      </c>
      <c r="E1104" s="1">
        <v>45540</v>
      </c>
      <c r="F1104" t="s">
        <v>36</v>
      </c>
      <c r="G1104">
        <v>3798</v>
      </c>
      <c r="H1104">
        <v>1392</v>
      </c>
      <c r="I1104">
        <v>2.2999999999999998</v>
      </c>
      <c r="J1104">
        <v>98</v>
      </c>
      <c r="Q1104">
        <f t="shared" si="1167"/>
        <v>59249</v>
      </c>
    </row>
    <row r="1105" spans="1:18" hidden="1" x14ac:dyDescent="0.25">
      <c r="A1105" t="s">
        <v>2598</v>
      </c>
      <c r="B1105" t="s">
        <v>2599</v>
      </c>
      <c r="C1105" t="s">
        <v>55</v>
      </c>
      <c r="D1105" t="s">
        <v>3</v>
      </c>
      <c r="E1105" s="1">
        <v>45567</v>
      </c>
      <c r="F1105" t="s">
        <v>11</v>
      </c>
      <c r="G1105">
        <v>8999</v>
      </c>
      <c r="H1105">
        <v>7122</v>
      </c>
      <c r="I1105">
        <v>2.0499999999999998</v>
      </c>
      <c r="J1105">
        <v>115</v>
      </c>
      <c r="Q1105">
        <f t="shared" si="1167"/>
        <v>59249</v>
      </c>
    </row>
    <row r="1106" spans="1:18" x14ac:dyDescent="0.25">
      <c r="A1106" t="s">
        <v>2600</v>
      </c>
      <c r="B1106" t="s">
        <v>2601</v>
      </c>
      <c r="C1106" t="s">
        <v>2</v>
      </c>
      <c r="D1106" t="s">
        <v>65</v>
      </c>
      <c r="E1106" t="s">
        <v>131</v>
      </c>
      <c r="F1106" t="s">
        <v>5</v>
      </c>
      <c r="G1106">
        <v>4243</v>
      </c>
      <c r="H1106">
        <v>6445</v>
      </c>
      <c r="I1106">
        <v>3.32</v>
      </c>
      <c r="J1106">
        <v>18</v>
      </c>
      <c r="K1106">
        <f t="shared" ref="K1106" ca="1" si="1174">IF(F1106="Enrolled", TODAY()-E1106, "")</f>
        <v>1318</v>
      </c>
      <c r="M1106">
        <f ca="1">IF(F1106="Enrolled",TODAY() - E1106,"")</f>
        <v>1318</v>
      </c>
      <c r="N1106" t="str">
        <f>IF(I1108&gt;=3.5,"Excellent",IF(I1108&gt;=3,"Good",IF(I1108&gt;=2,"Average","Poor")))</f>
        <v>Good</v>
      </c>
      <c r="O1106" t="e">
        <f>VLOOKUP(D1106, $T$18:$U$23, 2, FALSE)</f>
        <v>#N/A</v>
      </c>
      <c r="P1106" t="str">
        <f>IF(H1106 &gt; 0.5 * G1106, "YES", "NO")</f>
        <v>YES</v>
      </c>
      <c r="Q1106">
        <f t="shared" si="1167"/>
        <v>59249</v>
      </c>
      <c r="R1106" t="str">
        <f t="shared" ref="R1106" si="1175">IF(MONTH(E1100)&gt;=6, YEAR(E1100) &amp; "-" &amp; YEAR(E1100)+1, YEAR(E1100)-1 &amp; "-" &amp; YEAR(E1100))</f>
        <v>2023-2024</v>
      </c>
    </row>
    <row r="1107" spans="1:18" hidden="1" x14ac:dyDescent="0.25">
      <c r="A1107" t="s">
        <v>2602</v>
      </c>
      <c r="B1107" t="s">
        <v>2603</v>
      </c>
      <c r="C1107" t="s">
        <v>2</v>
      </c>
      <c r="D1107" t="s">
        <v>3</v>
      </c>
      <c r="E1107" t="s">
        <v>1648</v>
      </c>
      <c r="F1107" t="s">
        <v>11</v>
      </c>
      <c r="G1107">
        <v>2171</v>
      </c>
      <c r="H1107">
        <v>2358</v>
      </c>
      <c r="I1107">
        <v>2.4500000000000002</v>
      </c>
      <c r="J1107">
        <v>31</v>
      </c>
      <c r="Q1107">
        <f t="shared" si="1167"/>
        <v>59249</v>
      </c>
    </row>
    <row r="1108" spans="1:18" hidden="1" x14ac:dyDescent="0.25">
      <c r="A1108" t="s">
        <v>2604</v>
      </c>
      <c r="B1108" t="s">
        <v>2605</v>
      </c>
      <c r="C1108" t="s">
        <v>17</v>
      </c>
      <c r="D1108" t="s">
        <v>65</v>
      </c>
      <c r="E1108" s="1">
        <v>44691</v>
      </c>
      <c r="F1108" t="s">
        <v>11</v>
      </c>
      <c r="G1108">
        <v>4746</v>
      </c>
      <c r="H1108">
        <v>1220</v>
      </c>
      <c r="I1108">
        <v>3.26</v>
      </c>
      <c r="J1108">
        <v>10</v>
      </c>
      <c r="Q1108">
        <f t="shared" si="1167"/>
        <v>59249</v>
      </c>
    </row>
    <row r="1109" spans="1:18" x14ac:dyDescent="0.25">
      <c r="A1109" t="s">
        <v>2606</v>
      </c>
      <c r="B1109" t="s">
        <v>2607</v>
      </c>
      <c r="C1109" t="s">
        <v>8</v>
      </c>
      <c r="D1109" t="s">
        <v>9</v>
      </c>
      <c r="E1109" s="1">
        <v>45475</v>
      </c>
      <c r="F1109" t="s">
        <v>5</v>
      </c>
      <c r="G1109">
        <v>5813</v>
      </c>
      <c r="H1109">
        <v>8271</v>
      </c>
      <c r="I1109">
        <v>3.89</v>
      </c>
      <c r="J1109">
        <v>13</v>
      </c>
      <c r="K1109">
        <f t="shared" ref="K1109:K1110" ca="1" si="1176">IF(F1109="Enrolled", TODAY()-E1109, "")</f>
        <v>492</v>
      </c>
      <c r="M1109">
        <f t="shared" ref="M1109:M1110" ca="1" si="1177">IF(F1109="Enrolled",TODAY() - E1109,"")</f>
        <v>492</v>
      </c>
      <c r="N1109" t="str">
        <f t="shared" ref="N1109:N1110" si="1178">IF(I1111&gt;=3.5,"Excellent",IF(I1111&gt;=3,"Good",IF(I1111&gt;=2,"Average","Poor")))</f>
        <v>Average</v>
      </c>
      <c r="O1109" t="e">
        <f t="shared" ref="O1109:O1110" si="1179">VLOOKUP(D1109, $T$18:$U$23, 2, FALSE)</f>
        <v>#N/A</v>
      </c>
      <c r="P1109" t="str">
        <f t="shared" ref="P1109:P1110" si="1180">IF(H1109 &gt; 0.5 * G1109, "YES", "NO")</f>
        <v>YES</v>
      </c>
      <c r="Q1109">
        <f t="shared" si="1167"/>
        <v>59249</v>
      </c>
      <c r="R1109" t="str">
        <f t="shared" ref="R1109:R1110" si="1181">IF(MONTH(E1103)&gt;=6, YEAR(E1103) &amp; "-" &amp; YEAR(E1103)+1, YEAR(E1103)-1 &amp; "-" &amp; YEAR(E1103))</f>
        <v>2022-2023</v>
      </c>
    </row>
    <row r="1110" spans="1:18" x14ac:dyDescent="0.25">
      <c r="A1110" t="s">
        <v>2608</v>
      </c>
      <c r="B1110" t="s">
        <v>2609</v>
      </c>
      <c r="C1110" t="s">
        <v>32</v>
      </c>
      <c r="D1110" t="s">
        <v>3</v>
      </c>
      <c r="E1110" s="1">
        <v>44744</v>
      </c>
      <c r="F1110" t="s">
        <v>5</v>
      </c>
      <c r="G1110">
        <v>11997</v>
      </c>
      <c r="H1110">
        <v>3979</v>
      </c>
      <c r="I1110">
        <v>3.75</v>
      </c>
      <c r="J1110">
        <v>81</v>
      </c>
      <c r="K1110">
        <f t="shared" ca="1" si="1176"/>
        <v>1223</v>
      </c>
      <c r="M1110">
        <f t="shared" ca="1" si="1177"/>
        <v>1223</v>
      </c>
      <c r="N1110" t="str">
        <f t="shared" si="1178"/>
        <v>Excellent</v>
      </c>
      <c r="O1110" t="e">
        <f t="shared" si="1179"/>
        <v>#N/A</v>
      </c>
      <c r="P1110" t="str">
        <f t="shared" si="1180"/>
        <v>NO</v>
      </c>
      <c r="Q1110">
        <f t="shared" si="1167"/>
        <v>59249</v>
      </c>
      <c r="R1110" t="str">
        <f t="shared" si="1181"/>
        <v>2024-2025</v>
      </c>
    </row>
    <row r="1111" spans="1:18" hidden="1" x14ac:dyDescent="0.25">
      <c r="A1111" t="s">
        <v>2610</v>
      </c>
      <c r="B1111" t="s">
        <v>2611</v>
      </c>
      <c r="C1111" t="s">
        <v>32</v>
      </c>
      <c r="D1111" t="s">
        <v>25</v>
      </c>
      <c r="E1111" t="s">
        <v>2612</v>
      </c>
      <c r="F1111" t="s">
        <v>11</v>
      </c>
      <c r="G1111">
        <v>3129</v>
      </c>
      <c r="H1111">
        <v>3377</v>
      </c>
      <c r="I1111">
        <v>2.92</v>
      </c>
      <c r="J1111">
        <v>94</v>
      </c>
      <c r="Q1111">
        <f t="shared" si="1167"/>
        <v>59249</v>
      </c>
    </row>
    <row r="1112" spans="1:18" x14ac:dyDescent="0.25">
      <c r="A1112" t="s">
        <v>2613</v>
      </c>
      <c r="B1112" t="s">
        <v>2614</v>
      </c>
      <c r="C1112" t="s">
        <v>14</v>
      </c>
      <c r="D1112" t="s">
        <v>65</v>
      </c>
      <c r="E1112" t="s">
        <v>2615</v>
      </c>
      <c r="F1112" t="s">
        <v>5</v>
      </c>
      <c r="G1112">
        <v>4829</v>
      </c>
      <c r="H1112">
        <v>2463</v>
      </c>
      <c r="I1112">
        <v>3.81</v>
      </c>
      <c r="J1112">
        <v>71</v>
      </c>
      <c r="K1112">
        <f t="shared" ref="K1112:K1113" ca="1" si="1182">IF(F1112="Enrolled", TODAY()-E1112, "")</f>
        <v>689</v>
      </c>
      <c r="M1112">
        <f t="shared" ref="M1112:M1113" ca="1" si="1183">IF(F1112="Enrolled",TODAY() - E1112,"")</f>
        <v>689</v>
      </c>
      <c r="N1112" t="str">
        <f t="shared" ref="N1112:N1113" si="1184">IF(I1114&gt;=3.5,"Excellent",IF(I1114&gt;=3,"Good",IF(I1114&gt;=2,"Average","Poor")))</f>
        <v>Excellent</v>
      </c>
      <c r="O1112" t="e">
        <f t="shared" ref="O1112:O1113" si="1185">VLOOKUP(D1112, $T$18:$U$23, 2, FALSE)</f>
        <v>#N/A</v>
      </c>
      <c r="P1112" t="str">
        <f t="shared" ref="P1112:P1113" si="1186">IF(H1112 &gt; 0.5 * G1112, "YES", "NO")</f>
        <v>YES</v>
      </c>
      <c r="Q1112">
        <f t="shared" si="1167"/>
        <v>59249</v>
      </c>
      <c r="R1112" t="str">
        <f t="shared" ref="R1112:R1113" si="1187">IF(MONTH(E1106)&gt;=6, YEAR(E1106) &amp; "-" &amp; YEAR(E1106)+1, YEAR(E1106)-1 &amp; "-" &amp; YEAR(E1106))</f>
        <v>2021-2022</v>
      </c>
    </row>
    <row r="1113" spans="1:18" x14ac:dyDescent="0.25">
      <c r="A1113" t="s">
        <v>2616</v>
      </c>
      <c r="B1113" t="s">
        <v>2617</v>
      </c>
      <c r="C1113" t="s">
        <v>8</v>
      </c>
      <c r="D1113" t="s">
        <v>25</v>
      </c>
      <c r="E1113" s="1">
        <v>45211</v>
      </c>
      <c r="F1113" t="s">
        <v>5</v>
      </c>
      <c r="G1113">
        <v>13773</v>
      </c>
      <c r="H1113">
        <v>9595</v>
      </c>
      <c r="I1113">
        <v>2.15</v>
      </c>
      <c r="J1113">
        <v>22</v>
      </c>
      <c r="K1113">
        <f t="shared" ca="1" si="1182"/>
        <v>756</v>
      </c>
      <c r="M1113">
        <f t="shared" ca="1" si="1183"/>
        <v>756</v>
      </c>
      <c r="N1113" t="str">
        <f t="shared" si="1184"/>
        <v>Average</v>
      </c>
      <c r="O1113" t="e">
        <f t="shared" si="1185"/>
        <v>#N/A</v>
      </c>
      <c r="P1113" t="str">
        <f t="shared" si="1186"/>
        <v>YES</v>
      </c>
      <c r="Q1113">
        <f t="shared" si="1167"/>
        <v>59249</v>
      </c>
      <c r="R1113" t="str">
        <f t="shared" si="1187"/>
        <v>2022-2023</v>
      </c>
    </row>
    <row r="1114" spans="1:18" hidden="1" x14ac:dyDescent="0.25">
      <c r="A1114" t="s">
        <v>2618</v>
      </c>
      <c r="B1114" t="s">
        <v>2619</v>
      </c>
      <c r="C1114" t="s">
        <v>58</v>
      </c>
      <c r="D1114" t="s">
        <v>9</v>
      </c>
      <c r="E1114" t="s">
        <v>2620</v>
      </c>
      <c r="F1114" t="s">
        <v>11</v>
      </c>
      <c r="G1114">
        <v>7845</v>
      </c>
      <c r="H1114">
        <v>1768</v>
      </c>
      <c r="I1114">
        <v>3.79</v>
      </c>
      <c r="J1114">
        <v>82</v>
      </c>
      <c r="Q1114">
        <f t="shared" si="1167"/>
        <v>59249</v>
      </c>
    </row>
    <row r="1115" spans="1:18" hidden="1" x14ac:dyDescent="0.25">
      <c r="A1115" t="s">
        <v>2621</v>
      </c>
      <c r="B1115" t="s">
        <v>2622</v>
      </c>
      <c r="C1115" t="s">
        <v>21</v>
      </c>
      <c r="D1115" t="s">
        <v>25</v>
      </c>
      <c r="E1115" t="s">
        <v>2623</v>
      </c>
      <c r="F1115" t="s">
        <v>11</v>
      </c>
      <c r="G1115">
        <v>14112</v>
      </c>
      <c r="H1115">
        <v>4858</v>
      </c>
      <c r="I1115">
        <v>2.48</v>
      </c>
      <c r="J1115">
        <v>106</v>
      </c>
      <c r="Q1115">
        <f t="shared" si="1167"/>
        <v>51404</v>
      </c>
    </row>
    <row r="1116" spans="1:18" x14ac:dyDescent="0.25">
      <c r="A1116" t="s">
        <v>2624</v>
      </c>
      <c r="B1116" t="s">
        <v>2625</v>
      </c>
      <c r="C1116" t="s">
        <v>8</v>
      </c>
      <c r="D1116" t="s">
        <v>25</v>
      </c>
      <c r="E1116" t="s">
        <v>2626</v>
      </c>
      <c r="F1116" t="s">
        <v>5</v>
      </c>
      <c r="G1116">
        <v>8386</v>
      </c>
      <c r="H1116">
        <v>6949</v>
      </c>
      <c r="I1116">
        <v>2.54</v>
      </c>
      <c r="J1116">
        <v>97</v>
      </c>
      <c r="K1116">
        <f t="shared" ref="K1116:K1117" ca="1" si="1188">IF(F1116="Enrolled", TODAY()-E1116, "")</f>
        <v>538</v>
      </c>
      <c r="M1116">
        <f t="shared" ref="M1116:M1117" ca="1" si="1189">IF(F1116="Enrolled",TODAY() - E1116,"")</f>
        <v>538</v>
      </c>
      <c r="N1116" t="str">
        <f t="shared" ref="N1116:N1117" si="1190">IF(I1118&gt;=3.5,"Excellent",IF(I1118&gt;=3,"Good",IF(I1118&gt;=2,"Average","Poor")))</f>
        <v>Excellent</v>
      </c>
      <c r="O1116" t="e">
        <f t="shared" ref="O1116:O1117" si="1191">VLOOKUP(D1116, $T$18:$U$23, 2, FALSE)</f>
        <v>#N/A</v>
      </c>
      <c r="P1116" t="str">
        <f t="shared" ref="P1116:P1117" si="1192">IF(H1116 &gt; 0.5 * G1116, "YES", "NO")</f>
        <v>YES</v>
      </c>
      <c r="Q1116">
        <f t="shared" si="1167"/>
        <v>51404</v>
      </c>
      <c r="R1116" t="str">
        <f t="shared" ref="R1116:R1117" si="1193">IF(MONTH(E1110)&gt;=6, YEAR(E1110) &amp; "-" &amp; YEAR(E1110)+1, YEAR(E1110)-1 &amp; "-" &amp; YEAR(E1110))</f>
        <v>2022-2023</v>
      </c>
    </row>
    <row r="1117" spans="1:18" x14ac:dyDescent="0.25">
      <c r="A1117" t="s">
        <v>2627</v>
      </c>
      <c r="B1117" t="s">
        <v>2628</v>
      </c>
      <c r="C1117" t="s">
        <v>55</v>
      </c>
      <c r="D1117" t="s">
        <v>9</v>
      </c>
      <c r="E1117" t="s">
        <v>1103</v>
      </c>
      <c r="F1117" t="s">
        <v>5</v>
      </c>
      <c r="G1117">
        <v>11924</v>
      </c>
      <c r="H1117">
        <v>8400</v>
      </c>
      <c r="I1117">
        <v>3.46</v>
      </c>
      <c r="J1117">
        <v>23</v>
      </c>
      <c r="K1117">
        <f t="shared" ca="1" si="1188"/>
        <v>831</v>
      </c>
      <c r="M1117">
        <f t="shared" ca="1" si="1189"/>
        <v>831</v>
      </c>
      <c r="N1117" t="str">
        <f t="shared" si="1190"/>
        <v>Excellent</v>
      </c>
      <c r="O1117" t="e">
        <f t="shared" si="1191"/>
        <v>#N/A</v>
      </c>
      <c r="P1117" t="str">
        <f t="shared" si="1192"/>
        <v>YES</v>
      </c>
      <c r="Q1117">
        <f t="shared" si="1167"/>
        <v>51404</v>
      </c>
      <c r="R1117" t="str">
        <f t="shared" si="1193"/>
        <v>2022-2023</v>
      </c>
    </row>
    <row r="1118" spans="1:18" hidden="1" x14ac:dyDescent="0.25">
      <c r="A1118" t="s">
        <v>2629</v>
      </c>
      <c r="B1118" t="s">
        <v>2630</v>
      </c>
      <c r="C1118" t="s">
        <v>21</v>
      </c>
      <c r="D1118" t="s">
        <v>25</v>
      </c>
      <c r="E1118" t="s">
        <v>690</v>
      </c>
      <c r="F1118" t="s">
        <v>11</v>
      </c>
      <c r="G1118">
        <v>6259</v>
      </c>
      <c r="H1118">
        <v>6330</v>
      </c>
      <c r="I1118">
        <v>3.7</v>
      </c>
      <c r="J1118">
        <v>69</v>
      </c>
      <c r="Q1118">
        <f t="shared" si="1167"/>
        <v>51404</v>
      </c>
    </row>
    <row r="1119" spans="1:18" x14ac:dyDescent="0.25">
      <c r="A1119" t="s">
        <v>2631</v>
      </c>
      <c r="B1119" t="s">
        <v>2632</v>
      </c>
      <c r="C1119" t="s">
        <v>14</v>
      </c>
      <c r="D1119" t="s">
        <v>25</v>
      </c>
      <c r="E1119" t="s">
        <v>2633</v>
      </c>
      <c r="F1119" t="s">
        <v>5</v>
      </c>
      <c r="G1119">
        <v>2965</v>
      </c>
      <c r="H1119">
        <v>4420</v>
      </c>
      <c r="I1119">
        <v>3.5</v>
      </c>
      <c r="J1119">
        <v>79</v>
      </c>
      <c r="K1119">
        <f t="shared" ref="K1119:K1120" ca="1" si="1194">IF(F1119="Enrolled", TODAY()-E1119, "")</f>
        <v>620</v>
      </c>
      <c r="M1119">
        <f t="shared" ref="M1119:M1120" ca="1" si="1195">IF(F1119="Enrolled",TODAY() - E1119,"")</f>
        <v>620</v>
      </c>
      <c r="N1119" t="str">
        <f t="shared" ref="N1119:N1120" si="1196">IF(I1121&gt;=3.5,"Excellent",IF(I1121&gt;=3,"Good",IF(I1121&gt;=2,"Average","Poor")))</f>
        <v>Excellent</v>
      </c>
      <c r="O1119" t="e">
        <f t="shared" ref="O1119:O1120" si="1197">VLOOKUP(D1119, $T$18:$U$23, 2, FALSE)</f>
        <v>#N/A</v>
      </c>
      <c r="P1119" t="str">
        <f t="shared" ref="P1119:P1120" si="1198">IF(H1119 &gt; 0.5 * G1119, "YES", "NO")</f>
        <v>YES</v>
      </c>
      <c r="Q1119">
        <f t="shared" si="1167"/>
        <v>51404</v>
      </c>
      <c r="R1119" t="str">
        <f t="shared" ref="R1119:R1120" si="1199">IF(MONTH(E1113)&gt;=6, YEAR(E1113) &amp; "-" &amp; YEAR(E1113)+1, YEAR(E1113)-1 &amp; "-" &amp; YEAR(E1113))</f>
        <v>2023-2024</v>
      </c>
    </row>
    <row r="1120" spans="1:18" x14ac:dyDescent="0.25">
      <c r="A1120" t="s">
        <v>2634</v>
      </c>
      <c r="B1120" t="s">
        <v>2635</v>
      </c>
      <c r="C1120" t="s">
        <v>2</v>
      </c>
      <c r="D1120" t="s">
        <v>3</v>
      </c>
      <c r="E1120" t="s">
        <v>2633</v>
      </c>
      <c r="F1120" t="s">
        <v>5</v>
      </c>
      <c r="G1120">
        <v>10945</v>
      </c>
      <c r="H1120">
        <v>3789</v>
      </c>
      <c r="I1120">
        <v>3.56</v>
      </c>
      <c r="J1120">
        <v>39</v>
      </c>
      <c r="K1120">
        <f t="shared" ca="1" si="1194"/>
        <v>620</v>
      </c>
      <c r="M1120">
        <f t="shared" ca="1" si="1195"/>
        <v>620</v>
      </c>
      <c r="N1120" t="str">
        <f t="shared" si="1196"/>
        <v>Excellent</v>
      </c>
      <c r="O1120" t="e">
        <f t="shared" si="1197"/>
        <v>#N/A</v>
      </c>
      <c r="P1120" t="str">
        <f t="shared" si="1198"/>
        <v>NO</v>
      </c>
      <c r="Q1120">
        <f t="shared" si="1167"/>
        <v>51404</v>
      </c>
      <c r="R1120" t="str">
        <f t="shared" si="1199"/>
        <v>2022-2023</v>
      </c>
    </row>
    <row r="1121" spans="1:18" hidden="1" x14ac:dyDescent="0.25">
      <c r="A1121" t="s">
        <v>2636</v>
      </c>
      <c r="B1121" t="s">
        <v>2637</v>
      </c>
      <c r="C1121" t="s">
        <v>55</v>
      </c>
      <c r="D1121" t="s">
        <v>65</v>
      </c>
      <c r="E1121" t="s">
        <v>2638</v>
      </c>
      <c r="F1121" t="s">
        <v>11</v>
      </c>
      <c r="G1121">
        <v>5840</v>
      </c>
      <c r="H1121">
        <v>9839</v>
      </c>
      <c r="I1121">
        <v>3.91</v>
      </c>
      <c r="J1121">
        <v>21</v>
      </c>
      <c r="Q1121">
        <f t="shared" si="1167"/>
        <v>51404</v>
      </c>
    </row>
    <row r="1122" spans="1:18" hidden="1" x14ac:dyDescent="0.25">
      <c r="A1122" t="s">
        <v>2639</v>
      </c>
      <c r="B1122" t="s">
        <v>2640</v>
      </c>
      <c r="C1122" t="s">
        <v>21</v>
      </c>
      <c r="D1122" t="s">
        <v>65</v>
      </c>
      <c r="E1122" t="s">
        <v>2641</v>
      </c>
      <c r="F1122" t="s">
        <v>11</v>
      </c>
      <c r="G1122">
        <v>11837</v>
      </c>
      <c r="H1122">
        <v>4235</v>
      </c>
      <c r="I1122">
        <v>3.73</v>
      </c>
      <c r="J1122">
        <v>67</v>
      </c>
      <c r="Q1122">
        <f t="shared" si="1167"/>
        <v>51404</v>
      </c>
    </row>
    <row r="1123" spans="1:18" hidden="1" x14ac:dyDescent="0.25">
      <c r="A1123" t="s">
        <v>2642</v>
      </c>
      <c r="B1123" t="s">
        <v>2643</v>
      </c>
      <c r="C1123" t="s">
        <v>58</v>
      </c>
      <c r="D1123" t="s">
        <v>25</v>
      </c>
      <c r="E1123" t="s">
        <v>551</v>
      </c>
      <c r="F1123" t="s">
        <v>11</v>
      </c>
      <c r="G1123">
        <v>2593</v>
      </c>
      <c r="H1123">
        <v>3001</v>
      </c>
      <c r="I1123">
        <v>2.4</v>
      </c>
      <c r="J1123">
        <v>25</v>
      </c>
      <c r="Q1123">
        <f t="shared" si="1167"/>
        <v>51404</v>
      </c>
    </row>
    <row r="1124" spans="1:18" x14ac:dyDescent="0.25">
      <c r="A1124" t="s">
        <v>2644</v>
      </c>
      <c r="B1124" t="s">
        <v>2645</v>
      </c>
      <c r="C1124" t="s">
        <v>8</v>
      </c>
      <c r="D1124" t="s">
        <v>65</v>
      </c>
      <c r="E1124" t="s">
        <v>62</v>
      </c>
      <c r="F1124" t="s">
        <v>5</v>
      </c>
      <c r="G1124">
        <v>4320</v>
      </c>
      <c r="H1124">
        <v>5243</v>
      </c>
      <c r="I1124">
        <v>4</v>
      </c>
      <c r="J1124">
        <v>67</v>
      </c>
      <c r="K1124">
        <f t="shared" ref="K1124" ca="1" si="1200">IF(F1124="Enrolled", TODAY()-E1124, "")</f>
        <v>745</v>
      </c>
      <c r="M1124">
        <f ca="1">IF(F1124="Enrolled",TODAY() - E1124,"")</f>
        <v>745</v>
      </c>
      <c r="N1124" t="str">
        <f>IF(I1126&gt;=3.5,"Excellent",IF(I1126&gt;=3,"Good",IF(I1126&gt;=2,"Average","Poor")))</f>
        <v>Average</v>
      </c>
      <c r="O1124" t="e">
        <f>VLOOKUP(D1124, $T$18:$U$23, 2, FALSE)</f>
        <v>#N/A</v>
      </c>
      <c r="P1124" t="str">
        <f>IF(H1124 &gt; 0.5 * G1124, "YES", "NO")</f>
        <v>YES</v>
      </c>
      <c r="Q1124">
        <f t="shared" si="1167"/>
        <v>51404</v>
      </c>
      <c r="R1124" t="str">
        <f t="shared" ref="R1124" si="1201">IF(MONTH(E1118)&gt;=6, YEAR(E1118) &amp; "-" &amp; YEAR(E1118)+1, YEAR(E1118)-1 &amp; "-" &amp; YEAR(E1118))</f>
        <v>2021-2022</v>
      </c>
    </row>
    <row r="1125" spans="1:18" hidden="1" x14ac:dyDescent="0.25">
      <c r="A1125" t="s">
        <v>2646</v>
      </c>
      <c r="B1125" t="s">
        <v>2647</v>
      </c>
      <c r="C1125" t="s">
        <v>8</v>
      </c>
      <c r="D1125" t="s">
        <v>3</v>
      </c>
      <c r="E1125" s="1">
        <v>44720</v>
      </c>
      <c r="F1125" t="s">
        <v>11</v>
      </c>
      <c r="G1125">
        <v>5074</v>
      </c>
      <c r="H1125">
        <v>3228</v>
      </c>
      <c r="I1125">
        <v>3.89</v>
      </c>
      <c r="J1125">
        <v>10</v>
      </c>
      <c r="Q1125">
        <f t="shared" si="1167"/>
        <v>51404</v>
      </c>
    </row>
    <row r="1126" spans="1:18" x14ac:dyDescent="0.25">
      <c r="A1126" t="s">
        <v>2648</v>
      </c>
      <c r="B1126" t="s">
        <v>2649</v>
      </c>
      <c r="C1126" t="s">
        <v>8</v>
      </c>
      <c r="D1126" t="s">
        <v>65</v>
      </c>
      <c r="E1126" t="s">
        <v>390</v>
      </c>
      <c r="F1126" t="s">
        <v>5</v>
      </c>
      <c r="G1126">
        <v>10173</v>
      </c>
      <c r="H1126">
        <v>2208</v>
      </c>
      <c r="I1126">
        <v>2.9</v>
      </c>
      <c r="J1126">
        <v>3</v>
      </c>
      <c r="K1126">
        <f t="shared" ref="K1126" ca="1" si="1202">IF(F1126="Enrolled", TODAY()-E1126, "")</f>
        <v>829</v>
      </c>
      <c r="M1126">
        <f ca="1">IF(F1126="Enrolled",TODAY() - E1126,"")</f>
        <v>829</v>
      </c>
      <c r="N1126" t="str">
        <f>IF(I1128&gt;=3.5,"Excellent",IF(I1128&gt;=3,"Good",IF(I1128&gt;=2,"Average","Poor")))</f>
        <v>Excellent</v>
      </c>
      <c r="O1126" t="e">
        <f>VLOOKUP(D1126, $T$18:$U$23, 2, FALSE)</f>
        <v>#N/A</v>
      </c>
      <c r="P1126" t="str">
        <f>IF(H1126 &gt; 0.5 * G1126, "YES", "NO")</f>
        <v>NO</v>
      </c>
      <c r="Q1126">
        <f t="shared" si="1167"/>
        <v>51404</v>
      </c>
      <c r="R1126" t="str">
        <f t="shared" ref="R1126" si="1203">IF(MONTH(E1120)&gt;=6, YEAR(E1120) &amp; "-" &amp; YEAR(E1120)+1, YEAR(E1120)-1 &amp; "-" &amp; YEAR(E1120))</f>
        <v>2023-2024</v>
      </c>
    </row>
    <row r="1127" spans="1:18" hidden="1" x14ac:dyDescent="0.25">
      <c r="A1127" t="s">
        <v>2650</v>
      </c>
      <c r="B1127" t="s">
        <v>2651</v>
      </c>
      <c r="C1127" t="s">
        <v>21</v>
      </c>
      <c r="D1127" t="s">
        <v>3</v>
      </c>
      <c r="E1127" s="1">
        <v>44625</v>
      </c>
      <c r="F1127" t="s">
        <v>11</v>
      </c>
      <c r="G1127">
        <v>12039</v>
      </c>
      <c r="H1127">
        <v>2849</v>
      </c>
      <c r="I1127">
        <v>2.93</v>
      </c>
      <c r="J1127">
        <v>4</v>
      </c>
      <c r="Q1127">
        <f t="shared" si="1167"/>
        <v>51404</v>
      </c>
    </row>
    <row r="1128" spans="1:18" x14ac:dyDescent="0.25">
      <c r="A1128" t="s">
        <v>2652</v>
      </c>
      <c r="B1128" t="s">
        <v>2653</v>
      </c>
      <c r="C1128" t="s">
        <v>58</v>
      </c>
      <c r="D1128" t="s">
        <v>25</v>
      </c>
      <c r="E1128" s="1">
        <v>44994</v>
      </c>
      <c r="F1128" t="s">
        <v>5</v>
      </c>
      <c r="G1128">
        <v>9593</v>
      </c>
      <c r="H1128">
        <v>3437</v>
      </c>
      <c r="I1128">
        <v>3.75</v>
      </c>
      <c r="J1128">
        <v>117</v>
      </c>
      <c r="K1128">
        <f t="shared" ref="K1128:K1133" ca="1" si="1204">IF(F1128="Enrolled", TODAY()-E1128, "")</f>
        <v>973</v>
      </c>
      <c r="M1128">
        <f t="shared" ref="M1128:M1133" ca="1" si="1205">IF(F1128="Enrolled",TODAY() - E1128,"")</f>
        <v>973</v>
      </c>
      <c r="N1128" t="str">
        <f t="shared" ref="N1128:N1133" si="1206">IF(I1130&gt;=3.5,"Excellent",IF(I1130&gt;=3,"Good",IF(I1130&gt;=2,"Average","Poor")))</f>
        <v>Excellent</v>
      </c>
      <c r="O1128" t="e">
        <f t="shared" ref="O1128:O1133" si="1207">VLOOKUP(D1128, $T$18:$U$23, 2, FALSE)</f>
        <v>#N/A</v>
      </c>
      <c r="P1128" t="str">
        <f t="shared" ref="P1128:P1133" si="1208">IF(H1128 &gt; 0.5 * G1128, "YES", "NO")</f>
        <v>NO</v>
      </c>
      <c r="Q1128">
        <f t="shared" si="1167"/>
        <v>51404</v>
      </c>
      <c r="R1128" t="str">
        <f t="shared" ref="R1128:R1133" si="1209">IF(MONTH(E1122)&gt;=6, YEAR(E1122) &amp; "-" &amp; YEAR(E1122)+1, YEAR(E1122)-1 &amp; "-" &amp; YEAR(E1122))</f>
        <v>2023-2024</v>
      </c>
    </row>
    <row r="1129" spans="1:18" x14ac:dyDescent="0.25">
      <c r="A1129" t="s">
        <v>2654</v>
      </c>
      <c r="B1129" t="s">
        <v>2655</v>
      </c>
      <c r="C1129" t="s">
        <v>58</v>
      </c>
      <c r="D1129" t="s">
        <v>25</v>
      </c>
      <c r="E1129" s="1">
        <v>44904</v>
      </c>
      <c r="F1129" t="s">
        <v>5</v>
      </c>
      <c r="G1129">
        <v>12305</v>
      </c>
      <c r="H1129">
        <v>4221</v>
      </c>
      <c r="I1129">
        <v>3.38</v>
      </c>
      <c r="J1129">
        <v>40</v>
      </c>
      <c r="K1129">
        <f t="shared" ca="1" si="1204"/>
        <v>1063</v>
      </c>
      <c r="M1129">
        <f t="shared" ca="1" si="1205"/>
        <v>1063</v>
      </c>
      <c r="N1129" t="str">
        <f t="shared" si="1206"/>
        <v>Excellent</v>
      </c>
      <c r="O1129" t="e">
        <f t="shared" si="1207"/>
        <v>#N/A</v>
      </c>
      <c r="P1129" t="str">
        <f t="shared" si="1208"/>
        <v>NO</v>
      </c>
      <c r="Q1129">
        <f t="shared" si="1167"/>
        <v>51404</v>
      </c>
      <c r="R1129" t="str">
        <f t="shared" si="1209"/>
        <v>2023-2024</v>
      </c>
    </row>
    <row r="1130" spans="1:18" x14ac:dyDescent="0.25">
      <c r="A1130" t="s">
        <v>2656</v>
      </c>
      <c r="B1130" t="s">
        <v>2657</v>
      </c>
      <c r="C1130" t="s">
        <v>8</v>
      </c>
      <c r="D1130" t="s">
        <v>65</v>
      </c>
      <c r="E1130" t="s">
        <v>52</v>
      </c>
      <c r="F1130" t="s">
        <v>5</v>
      </c>
      <c r="G1130">
        <v>10591</v>
      </c>
      <c r="H1130">
        <v>8903</v>
      </c>
      <c r="I1130">
        <v>3.69</v>
      </c>
      <c r="J1130">
        <v>106</v>
      </c>
      <c r="K1130">
        <f t="shared" ca="1" si="1204"/>
        <v>771</v>
      </c>
      <c r="M1130">
        <f t="shared" ca="1" si="1205"/>
        <v>771</v>
      </c>
      <c r="N1130" t="str">
        <f t="shared" si="1206"/>
        <v>Good</v>
      </c>
      <c r="O1130" t="e">
        <f t="shared" si="1207"/>
        <v>#N/A</v>
      </c>
      <c r="P1130" t="str">
        <f t="shared" si="1208"/>
        <v>YES</v>
      </c>
      <c r="Q1130">
        <f t="shared" si="1167"/>
        <v>51404</v>
      </c>
      <c r="R1130" t="str">
        <f t="shared" si="1209"/>
        <v>2023-2024</v>
      </c>
    </row>
    <row r="1131" spans="1:18" x14ac:dyDescent="0.25">
      <c r="A1131" t="s">
        <v>2658</v>
      </c>
      <c r="B1131" t="s">
        <v>2659</v>
      </c>
      <c r="C1131" t="s">
        <v>32</v>
      </c>
      <c r="D1131" t="s">
        <v>65</v>
      </c>
      <c r="E1131" t="s">
        <v>1034</v>
      </c>
      <c r="F1131" t="s">
        <v>5</v>
      </c>
      <c r="G1131">
        <v>7321</v>
      </c>
      <c r="H1131">
        <v>2534</v>
      </c>
      <c r="I1131">
        <v>3.52</v>
      </c>
      <c r="J1131">
        <v>33</v>
      </c>
      <c r="K1131">
        <f t="shared" ca="1" si="1204"/>
        <v>768</v>
      </c>
      <c r="M1131">
        <f t="shared" ca="1" si="1205"/>
        <v>768</v>
      </c>
      <c r="N1131" t="str">
        <f t="shared" si="1206"/>
        <v>Excellent</v>
      </c>
      <c r="O1131" t="e">
        <f t="shared" si="1207"/>
        <v>#N/A</v>
      </c>
      <c r="P1131" t="str">
        <f t="shared" si="1208"/>
        <v>NO</v>
      </c>
      <c r="Q1131">
        <f t="shared" si="1167"/>
        <v>51404</v>
      </c>
      <c r="R1131" t="str">
        <f t="shared" si="1209"/>
        <v>2022-2023</v>
      </c>
    </row>
    <row r="1132" spans="1:18" x14ac:dyDescent="0.25">
      <c r="A1132" t="s">
        <v>2660</v>
      </c>
      <c r="B1132" t="s">
        <v>2661</v>
      </c>
      <c r="C1132" t="s">
        <v>8</v>
      </c>
      <c r="D1132" t="s">
        <v>25</v>
      </c>
      <c r="E1132" s="1">
        <v>45027</v>
      </c>
      <c r="F1132" t="s">
        <v>5</v>
      </c>
      <c r="G1132">
        <v>7742</v>
      </c>
      <c r="H1132">
        <v>3650</v>
      </c>
      <c r="I1132">
        <v>3.42</v>
      </c>
      <c r="J1132">
        <v>60</v>
      </c>
      <c r="K1132">
        <f t="shared" ca="1" si="1204"/>
        <v>940</v>
      </c>
      <c r="M1132">
        <f t="shared" ca="1" si="1205"/>
        <v>940</v>
      </c>
      <c r="N1132" t="str">
        <f t="shared" si="1206"/>
        <v>Excellent</v>
      </c>
      <c r="O1132" t="e">
        <f t="shared" si="1207"/>
        <v>#N/A</v>
      </c>
      <c r="P1132" t="str">
        <f t="shared" si="1208"/>
        <v>NO</v>
      </c>
      <c r="Q1132">
        <f t="shared" si="1167"/>
        <v>51404</v>
      </c>
      <c r="R1132" t="str">
        <f t="shared" si="1209"/>
        <v>2023-2024</v>
      </c>
    </row>
    <row r="1133" spans="1:18" x14ac:dyDescent="0.25">
      <c r="A1133" t="s">
        <v>2662</v>
      </c>
      <c r="B1133" t="s">
        <v>2663</v>
      </c>
      <c r="C1133" t="s">
        <v>17</v>
      </c>
      <c r="D1133" t="s">
        <v>25</v>
      </c>
      <c r="E1133" t="s">
        <v>2664</v>
      </c>
      <c r="F1133" t="s">
        <v>5</v>
      </c>
      <c r="G1133">
        <v>11854</v>
      </c>
      <c r="H1133">
        <v>1254</v>
      </c>
      <c r="I1133">
        <v>3.76</v>
      </c>
      <c r="J1133">
        <v>1</v>
      </c>
      <c r="K1133">
        <f t="shared" ca="1" si="1204"/>
        <v>596</v>
      </c>
      <c r="M1133">
        <f t="shared" ca="1" si="1205"/>
        <v>596</v>
      </c>
      <c r="N1133" t="str">
        <f t="shared" si="1206"/>
        <v>Excellent</v>
      </c>
      <c r="O1133" t="e">
        <f t="shared" si="1207"/>
        <v>#N/A</v>
      </c>
      <c r="P1133" t="str">
        <f t="shared" si="1208"/>
        <v>NO</v>
      </c>
      <c r="Q1133">
        <f t="shared" si="1167"/>
        <v>51404</v>
      </c>
      <c r="R1133" t="str">
        <f t="shared" si="1209"/>
        <v>2021-2022</v>
      </c>
    </row>
    <row r="1134" spans="1:18" hidden="1" x14ac:dyDescent="0.25">
      <c r="A1134" t="s">
        <v>2665</v>
      </c>
      <c r="B1134" t="s">
        <v>2666</v>
      </c>
      <c r="C1134" t="s">
        <v>17</v>
      </c>
      <c r="D1134" t="s">
        <v>65</v>
      </c>
      <c r="E1134" t="s">
        <v>627</v>
      </c>
      <c r="F1134" t="s">
        <v>36</v>
      </c>
      <c r="G1134">
        <v>3324</v>
      </c>
      <c r="H1134">
        <v>6168</v>
      </c>
      <c r="I1134">
        <v>3.97</v>
      </c>
      <c r="J1134">
        <v>54</v>
      </c>
      <c r="Q1134">
        <f t="shared" si="1167"/>
        <v>51404</v>
      </c>
    </row>
    <row r="1135" spans="1:18" x14ac:dyDescent="0.25">
      <c r="A1135" t="s">
        <v>2667</v>
      </c>
      <c r="B1135" t="s">
        <v>2668</v>
      </c>
      <c r="C1135" t="s">
        <v>8</v>
      </c>
      <c r="D1135" t="s">
        <v>65</v>
      </c>
      <c r="E1135" t="s">
        <v>1952</v>
      </c>
      <c r="F1135" t="s">
        <v>5</v>
      </c>
      <c r="G1135">
        <v>6655</v>
      </c>
      <c r="H1135">
        <v>8989</v>
      </c>
      <c r="I1135">
        <v>3.86</v>
      </c>
      <c r="J1135">
        <v>82</v>
      </c>
      <c r="K1135">
        <f t="shared" ref="K1135:K1136" ca="1" si="1210">IF(F1135="Enrolled", TODAY()-E1135, "")</f>
        <v>586</v>
      </c>
      <c r="M1135">
        <f t="shared" ref="M1135:M1136" ca="1" si="1211">IF(F1135="Enrolled",TODAY() - E1135,"")</f>
        <v>586</v>
      </c>
      <c r="N1135" t="str">
        <f t="shared" ref="N1135:N1136" si="1212">IF(I1137&gt;=3.5,"Excellent",IF(I1137&gt;=3,"Good",IF(I1137&gt;=2,"Average","Poor")))</f>
        <v>Good</v>
      </c>
      <c r="O1135" t="e">
        <f t="shared" ref="O1135:O1136" si="1213">VLOOKUP(D1135, $T$18:$U$23, 2, FALSE)</f>
        <v>#N/A</v>
      </c>
      <c r="P1135" t="str">
        <f t="shared" ref="P1135:P1136" si="1214">IF(H1135 &gt; 0.5 * G1135, "YES", "NO")</f>
        <v>YES</v>
      </c>
      <c r="Q1135">
        <f t="shared" si="1167"/>
        <v>51404</v>
      </c>
      <c r="R1135" t="str">
        <f t="shared" ref="R1135:R1136" si="1215">IF(MONTH(E1129)&gt;=6, YEAR(E1129) &amp; "-" &amp; YEAR(E1129)+1, YEAR(E1129)-1 &amp; "-" &amp; YEAR(E1129))</f>
        <v>2022-2023</v>
      </c>
    </row>
    <row r="1136" spans="1:18" x14ac:dyDescent="0.25">
      <c r="A1136" t="s">
        <v>2669</v>
      </c>
      <c r="B1136" t="s">
        <v>2670</v>
      </c>
      <c r="C1136" t="s">
        <v>32</v>
      </c>
      <c r="D1136" t="s">
        <v>3</v>
      </c>
      <c r="E1136" s="1">
        <v>44835</v>
      </c>
      <c r="F1136" t="s">
        <v>5</v>
      </c>
      <c r="G1136">
        <v>6724</v>
      </c>
      <c r="H1136">
        <v>1796</v>
      </c>
      <c r="I1136">
        <v>3.56</v>
      </c>
      <c r="J1136">
        <v>9</v>
      </c>
      <c r="K1136">
        <f t="shared" ca="1" si="1210"/>
        <v>1132</v>
      </c>
      <c r="M1136">
        <f t="shared" ca="1" si="1211"/>
        <v>1132</v>
      </c>
      <c r="N1136" t="str">
        <f t="shared" si="1212"/>
        <v>Average</v>
      </c>
      <c r="O1136" t="e">
        <f t="shared" si="1213"/>
        <v>#N/A</v>
      </c>
      <c r="P1136" t="str">
        <f t="shared" si="1214"/>
        <v>NO</v>
      </c>
      <c r="Q1136">
        <f t="shared" si="1167"/>
        <v>51404</v>
      </c>
      <c r="R1136" t="str">
        <f t="shared" si="1215"/>
        <v>2023-2024</v>
      </c>
    </row>
    <row r="1137" spans="1:18" hidden="1" x14ac:dyDescent="0.25">
      <c r="A1137" t="s">
        <v>2671</v>
      </c>
      <c r="B1137" t="s">
        <v>2672</v>
      </c>
      <c r="C1137" t="s">
        <v>58</v>
      </c>
      <c r="D1137" t="s">
        <v>65</v>
      </c>
      <c r="E1137" s="1">
        <v>45293</v>
      </c>
      <c r="F1137" t="s">
        <v>11</v>
      </c>
      <c r="G1137">
        <v>7277</v>
      </c>
      <c r="H1137">
        <v>7758</v>
      </c>
      <c r="I1137">
        <v>3.04</v>
      </c>
      <c r="J1137">
        <v>0</v>
      </c>
      <c r="Q1137">
        <f t="shared" si="1167"/>
        <v>51404</v>
      </c>
    </row>
    <row r="1138" spans="1:18" x14ac:dyDescent="0.25">
      <c r="A1138" t="s">
        <v>2673</v>
      </c>
      <c r="B1138" t="s">
        <v>2674</v>
      </c>
      <c r="C1138" t="s">
        <v>17</v>
      </c>
      <c r="D1138" t="s">
        <v>25</v>
      </c>
      <c r="E1138" t="s">
        <v>687</v>
      </c>
      <c r="F1138" t="s">
        <v>5</v>
      </c>
      <c r="G1138">
        <v>10295</v>
      </c>
      <c r="H1138">
        <v>4718</v>
      </c>
      <c r="I1138">
        <v>2.93</v>
      </c>
      <c r="J1138">
        <v>80</v>
      </c>
      <c r="K1138">
        <f t="shared" ref="K1138:K1143" ca="1" si="1216">IF(F1138="Enrolled", TODAY()-E1138, "")</f>
        <v>1330</v>
      </c>
      <c r="M1138">
        <f t="shared" ref="M1138:M1143" ca="1" si="1217">IF(F1138="Enrolled",TODAY() - E1138,"")</f>
        <v>1330</v>
      </c>
      <c r="N1138" t="str">
        <f t="shared" ref="N1138:N1143" si="1218">IF(I1140&gt;=3.5,"Excellent",IF(I1140&gt;=3,"Good",IF(I1140&gt;=2,"Average","Poor")))</f>
        <v>Average</v>
      </c>
      <c r="O1138" t="e">
        <f t="shared" ref="O1138:O1143" si="1219">VLOOKUP(D1138, $T$18:$U$23, 2, FALSE)</f>
        <v>#N/A</v>
      </c>
      <c r="P1138" t="str">
        <f t="shared" ref="P1138:P1143" si="1220">IF(H1138 &gt; 0.5 * G1138, "YES", "NO")</f>
        <v>NO</v>
      </c>
      <c r="Q1138">
        <f t="shared" si="1167"/>
        <v>51404</v>
      </c>
      <c r="R1138" t="str">
        <f t="shared" ref="R1138:R1143" si="1221">IF(MONTH(E1132)&gt;=6, YEAR(E1132) &amp; "-" &amp; YEAR(E1132)+1, YEAR(E1132)-1 &amp; "-" &amp; YEAR(E1132))</f>
        <v>2022-2023</v>
      </c>
    </row>
    <row r="1139" spans="1:18" x14ac:dyDescent="0.25">
      <c r="A1139" t="s">
        <v>2675</v>
      </c>
      <c r="B1139" t="s">
        <v>2676</v>
      </c>
      <c r="C1139" t="s">
        <v>14</v>
      </c>
      <c r="D1139" t="s">
        <v>25</v>
      </c>
      <c r="E1139" s="1">
        <v>44775</v>
      </c>
      <c r="F1139" t="s">
        <v>5</v>
      </c>
      <c r="G1139">
        <v>14993</v>
      </c>
      <c r="H1139">
        <v>3599</v>
      </c>
      <c r="I1139">
        <v>2.61</v>
      </c>
      <c r="J1139">
        <v>47</v>
      </c>
      <c r="K1139">
        <f t="shared" ca="1" si="1216"/>
        <v>1192</v>
      </c>
      <c r="M1139">
        <f t="shared" ca="1" si="1217"/>
        <v>1192</v>
      </c>
      <c r="N1139" t="str">
        <f t="shared" si="1218"/>
        <v>Good</v>
      </c>
      <c r="O1139" t="e">
        <f t="shared" si="1219"/>
        <v>#N/A</v>
      </c>
      <c r="P1139" t="str">
        <f t="shared" si="1220"/>
        <v>NO</v>
      </c>
      <c r="Q1139">
        <f t="shared" si="1167"/>
        <v>51404</v>
      </c>
      <c r="R1139" t="str">
        <f t="shared" si="1221"/>
        <v>2023-2024</v>
      </c>
    </row>
    <row r="1140" spans="1:18" x14ac:dyDescent="0.25">
      <c r="A1140" t="s">
        <v>2677</v>
      </c>
      <c r="B1140" t="s">
        <v>2678</v>
      </c>
      <c r="C1140" t="s">
        <v>8</v>
      </c>
      <c r="D1140" t="s">
        <v>65</v>
      </c>
      <c r="E1140" t="s">
        <v>2679</v>
      </c>
      <c r="F1140" t="s">
        <v>5</v>
      </c>
      <c r="G1140">
        <v>4493</v>
      </c>
      <c r="H1140">
        <v>7576</v>
      </c>
      <c r="I1140">
        <v>2.69</v>
      </c>
      <c r="J1140">
        <v>99</v>
      </c>
      <c r="K1140">
        <f t="shared" ca="1" si="1216"/>
        <v>683</v>
      </c>
      <c r="M1140">
        <f t="shared" ca="1" si="1217"/>
        <v>683</v>
      </c>
      <c r="N1140" t="str">
        <f t="shared" si="1218"/>
        <v>Excellent</v>
      </c>
      <c r="O1140" t="e">
        <f t="shared" si="1219"/>
        <v>#N/A</v>
      </c>
      <c r="P1140" t="str">
        <f t="shared" si="1220"/>
        <v>YES</v>
      </c>
      <c r="Q1140">
        <f t="shared" si="1167"/>
        <v>51404</v>
      </c>
      <c r="R1140" t="str">
        <f t="shared" si="1221"/>
        <v>2022-2023</v>
      </c>
    </row>
    <row r="1141" spans="1:18" x14ac:dyDescent="0.25">
      <c r="A1141" t="s">
        <v>2680</v>
      </c>
      <c r="B1141" t="s">
        <v>2681</v>
      </c>
      <c r="C1141" t="s">
        <v>2</v>
      </c>
      <c r="D1141" t="s">
        <v>25</v>
      </c>
      <c r="E1141" t="s">
        <v>2682</v>
      </c>
      <c r="F1141" t="s">
        <v>5</v>
      </c>
      <c r="G1141">
        <v>6908</v>
      </c>
      <c r="H1141">
        <v>4097</v>
      </c>
      <c r="I1141">
        <v>3.41</v>
      </c>
      <c r="J1141">
        <v>65</v>
      </c>
      <c r="K1141">
        <f t="shared" ca="1" si="1216"/>
        <v>957</v>
      </c>
      <c r="M1141">
        <f t="shared" ca="1" si="1217"/>
        <v>957</v>
      </c>
      <c r="N1141" t="str">
        <f t="shared" si="1218"/>
        <v>Good</v>
      </c>
      <c r="O1141" t="e">
        <f t="shared" si="1219"/>
        <v>#N/A</v>
      </c>
      <c r="P1141" t="str">
        <f t="shared" si="1220"/>
        <v>YES</v>
      </c>
      <c r="Q1141">
        <f t="shared" si="1167"/>
        <v>51404</v>
      </c>
      <c r="R1141" t="str">
        <f t="shared" si="1221"/>
        <v>2023-2024</v>
      </c>
    </row>
    <row r="1142" spans="1:18" x14ac:dyDescent="0.25">
      <c r="A1142" t="s">
        <v>2683</v>
      </c>
      <c r="B1142" t="s">
        <v>2684</v>
      </c>
      <c r="C1142" t="s">
        <v>58</v>
      </c>
      <c r="D1142" t="s">
        <v>25</v>
      </c>
      <c r="E1142" t="s">
        <v>2029</v>
      </c>
      <c r="F1142" t="s">
        <v>5</v>
      </c>
      <c r="G1142">
        <v>13292</v>
      </c>
      <c r="H1142">
        <v>1593</v>
      </c>
      <c r="I1142">
        <v>3.54</v>
      </c>
      <c r="J1142">
        <v>72</v>
      </c>
      <c r="K1142">
        <f t="shared" ca="1" si="1216"/>
        <v>1240</v>
      </c>
      <c r="M1142">
        <f t="shared" ca="1" si="1217"/>
        <v>1240</v>
      </c>
      <c r="N1142" t="str">
        <f t="shared" si="1218"/>
        <v>Excellent</v>
      </c>
      <c r="O1142" t="e">
        <f t="shared" si="1219"/>
        <v>#N/A</v>
      </c>
      <c r="P1142" t="str">
        <f t="shared" si="1220"/>
        <v>NO</v>
      </c>
      <c r="Q1142">
        <f t="shared" si="1167"/>
        <v>51404</v>
      </c>
      <c r="R1142" t="str">
        <f t="shared" si="1221"/>
        <v>2022-2023</v>
      </c>
    </row>
    <row r="1143" spans="1:18" x14ac:dyDescent="0.25">
      <c r="A1143" t="s">
        <v>2685</v>
      </c>
      <c r="B1143" t="s">
        <v>2686</v>
      </c>
      <c r="C1143" t="s">
        <v>55</v>
      </c>
      <c r="D1143" t="s">
        <v>25</v>
      </c>
      <c r="E1143" s="1">
        <v>45629</v>
      </c>
      <c r="F1143" t="s">
        <v>5</v>
      </c>
      <c r="G1143">
        <v>14486</v>
      </c>
      <c r="H1143">
        <v>3971</v>
      </c>
      <c r="I1143">
        <v>3.31</v>
      </c>
      <c r="J1143">
        <v>97</v>
      </c>
      <c r="K1143">
        <f t="shared" ca="1" si="1216"/>
        <v>338</v>
      </c>
      <c r="M1143">
        <f t="shared" ca="1" si="1217"/>
        <v>338</v>
      </c>
      <c r="N1143" t="str">
        <f t="shared" si="1218"/>
        <v>Average</v>
      </c>
      <c r="O1143" t="e">
        <f t="shared" si="1219"/>
        <v>#N/A</v>
      </c>
      <c r="P1143" t="str">
        <f t="shared" si="1220"/>
        <v>NO</v>
      </c>
      <c r="Q1143">
        <f t="shared" si="1167"/>
        <v>51404</v>
      </c>
      <c r="R1143" t="str">
        <f t="shared" si="1221"/>
        <v>2023-2024</v>
      </c>
    </row>
    <row r="1144" spans="1:18" hidden="1" x14ac:dyDescent="0.25">
      <c r="A1144" t="s">
        <v>2687</v>
      </c>
      <c r="B1144" t="s">
        <v>2688</v>
      </c>
      <c r="C1144" t="s">
        <v>17</v>
      </c>
      <c r="D1144" t="s">
        <v>9</v>
      </c>
      <c r="E1144" t="s">
        <v>1458</v>
      </c>
      <c r="F1144" t="s">
        <v>11</v>
      </c>
      <c r="G1144">
        <v>9401</v>
      </c>
      <c r="H1144">
        <v>6397</v>
      </c>
      <c r="I1144">
        <v>3.79</v>
      </c>
      <c r="J1144">
        <v>99</v>
      </c>
      <c r="Q1144">
        <f t="shared" si="1167"/>
        <v>51404</v>
      </c>
    </row>
    <row r="1145" spans="1:18" x14ac:dyDescent="0.25">
      <c r="A1145" t="s">
        <v>2689</v>
      </c>
      <c r="B1145" t="s">
        <v>2690</v>
      </c>
      <c r="C1145" t="s">
        <v>17</v>
      </c>
      <c r="D1145" t="s">
        <v>3</v>
      </c>
      <c r="E1145" t="s">
        <v>2691</v>
      </c>
      <c r="F1145" t="s">
        <v>5</v>
      </c>
      <c r="G1145">
        <v>9412</v>
      </c>
      <c r="H1145">
        <v>8356</v>
      </c>
      <c r="I1145">
        <v>2.4900000000000002</v>
      </c>
      <c r="J1145">
        <v>57</v>
      </c>
      <c r="K1145">
        <f t="shared" ref="K1145:K1146" ca="1" si="1222">IF(F1145="Enrolled", TODAY()-E1145, "")</f>
        <v>632</v>
      </c>
      <c r="M1145">
        <f t="shared" ref="M1145:M1146" ca="1" si="1223">IF(F1145="Enrolled",TODAY() - E1145,"")</f>
        <v>632</v>
      </c>
      <c r="N1145" t="str">
        <f t="shared" ref="N1145:N1146" si="1224">IF(I1147&gt;=3.5,"Excellent",IF(I1147&gt;=3,"Good",IF(I1147&gt;=2,"Average","Poor")))</f>
        <v>Excellent</v>
      </c>
      <c r="O1145" t="e">
        <f t="shared" ref="O1145:O1146" si="1225">VLOOKUP(D1145, $T$18:$U$23, 2, FALSE)</f>
        <v>#N/A</v>
      </c>
      <c r="P1145" t="str">
        <f t="shared" ref="P1145:P1146" si="1226">IF(H1145 &gt; 0.5 * G1145, "YES", "NO")</f>
        <v>YES</v>
      </c>
      <c r="Q1145">
        <f t="shared" si="1167"/>
        <v>42003</v>
      </c>
      <c r="R1145" t="str">
        <f t="shared" ref="R1145:R1146" si="1227">IF(MONTH(E1139)&gt;=6, YEAR(E1139) &amp; "-" &amp; YEAR(E1139)+1, YEAR(E1139)-1 &amp; "-" &amp; YEAR(E1139))</f>
        <v>2022-2023</v>
      </c>
    </row>
    <row r="1146" spans="1:18" x14ac:dyDescent="0.25">
      <c r="A1146" t="s">
        <v>2692</v>
      </c>
      <c r="B1146" t="s">
        <v>2693</v>
      </c>
      <c r="C1146" t="s">
        <v>55</v>
      </c>
      <c r="D1146" t="s">
        <v>3</v>
      </c>
      <c r="E1146" s="1">
        <v>45242</v>
      </c>
      <c r="F1146" t="s">
        <v>5</v>
      </c>
      <c r="G1146">
        <v>4940</v>
      </c>
      <c r="H1146">
        <v>3090</v>
      </c>
      <c r="I1146">
        <v>3.66</v>
      </c>
      <c r="J1146">
        <v>59</v>
      </c>
      <c r="K1146">
        <f t="shared" ca="1" si="1222"/>
        <v>725</v>
      </c>
      <c r="M1146">
        <f t="shared" ca="1" si="1223"/>
        <v>725</v>
      </c>
      <c r="N1146" t="str">
        <f t="shared" si="1224"/>
        <v>Good</v>
      </c>
      <c r="O1146" t="e">
        <f t="shared" si="1225"/>
        <v>#N/A</v>
      </c>
      <c r="P1146" t="str">
        <f t="shared" si="1226"/>
        <v>YES</v>
      </c>
      <c r="Q1146">
        <f t="shared" si="1167"/>
        <v>42003</v>
      </c>
      <c r="R1146" t="str">
        <f t="shared" si="1227"/>
        <v>2023-2024</v>
      </c>
    </row>
    <row r="1147" spans="1:18" hidden="1" x14ac:dyDescent="0.25">
      <c r="A1147" t="s">
        <v>2694</v>
      </c>
      <c r="B1147" t="s">
        <v>2695</v>
      </c>
      <c r="C1147" t="s">
        <v>8</v>
      </c>
      <c r="D1147" t="s">
        <v>65</v>
      </c>
      <c r="E1147" s="1">
        <v>45387</v>
      </c>
      <c r="F1147" t="s">
        <v>11</v>
      </c>
      <c r="G1147">
        <v>2258</v>
      </c>
      <c r="H1147">
        <v>2167</v>
      </c>
      <c r="I1147">
        <v>3.71</v>
      </c>
      <c r="J1147">
        <v>37</v>
      </c>
      <c r="Q1147">
        <f t="shared" si="1167"/>
        <v>42003</v>
      </c>
    </row>
    <row r="1148" spans="1:18" x14ac:dyDescent="0.25">
      <c r="A1148" t="s">
        <v>2696</v>
      </c>
      <c r="B1148" t="s">
        <v>2697</v>
      </c>
      <c r="C1148" t="s">
        <v>55</v>
      </c>
      <c r="D1148" t="s">
        <v>65</v>
      </c>
      <c r="E1148" t="s">
        <v>1500</v>
      </c>
      <c r="F1148" t="s">
        <v>5</v>
      </c>
      <c r="G1148">
        <v>12187</v>
      </c>
      <c r="H1148">
        <v>6773</v>
      </c>
      <c r="I1148">
        <v>3.49</v>
      </c>
      <c r="J1148">
        <v>74</v>
      </c>
      <c r="K1148">
        <f t="shared" ref="K1148:K1154" ca="1" si="1228">IF(F1148="Enrolled", TODAY()-E1148, "")</f>
        <v>862</v>
      </c>
      <c r="M1148">
        <f t="shared" ref="M1148:M1154" ca="1" si="1229">IF(F1148="Enrolled",TODAY() - E1148,"")</f>
        <v>862</v>
      </c>
      <c r="N1148" t="str">
        <f t="shared" ref="N1148:N1154" si="1230">IF(I1150&gt;=3.5,"Excellent",IF(I1150&gt;=3,"Good",IF(I1150&gt;=2,"Average","Poor")))</f>
        <v>Average</v>
      </c>
      <c r="O1148" t="e">
        <f t="shared" ref="O1148:O1154" si="1231">VLOOKUP(D1148, $T$18:$U$23, 2, FALSE)</f>
        <v>#N/A</v>
      </c>
      <c r="P1148" t="str">
        <f t="shared" ref="P1148:P1154" si="1232">IF(H1148 &gt; 0.5 * G1148, "YES", "NO")</f>
        <v>YES</v>
      </c>
      <c r="Q1148">
        <f t="shared" si="1167"/>
        <v>42003</v>
      </c>
      <c r="R1148" t="str">
        <f t="shared" ref="R1148:R1154" si="1233">IF(MONTH(E1142)&gt;=6, YEAR(E1142) &amp; "-" &amp; YEAR(E1142)+1, YEAR(E1142)-1 &amp; "-" &amp; YEAR(E1142))</f>
        <v>2022-2023</v>
      </c>
    </row>
    <row r="1149" spans="1:18" x14ac:dyDescent="0.25">
      <c r="A1149" t="s">
        <v>2698</v>
      </c>
      <c r="B1149" t="s">
        <v>2699</v>
      </c>
      <c r="C1149" t="s">
        <v>58</v>
      </c>
      <c r="D1149" t="s">
        <v>25</v>
      </c>
      <c r="E1149" t="s">
        <v>10</v>
      </c>
      <c r="F1149" t="s">
        <v>5</v>
      </c>
      <c r="G1149">
        <v>11200</v>
      </c>
      <c r="H1149">
        <v>302</v>
      </c>
      <c r="I1149">
        <v>2.75</v>
      </c>
      <c r="J1149">
        <v>13</v>
      </c>
      <c r="K1149">
        <f t="shared" ca="1" si="1228"/>
        <v>1112</v>
      </c>
      <c r="M1149">
        <f t="shared" ca="1" si="1229"/>
        <v>1112</v>
      </c>
      <c r="N1149" t="str">
        <f t="shared" si="1230"/>
        <v>Average</v>
      </c>
      <c r="O1149" t="e">
        <f t="shared" si="1231"/>
        <v>#N/A</v>
      </c>
      <c r="P1149" t="str">
        <f t="shared" si="1232"/>
        <v>NO</v>
      </c>
      <c r="Q1149">
        <f t="shared" si="1167"/>
        <v>42003</v>
      </c>
      <c r="R1149" t="str">
        <f t="shared" si="1233"/>
        <v>2024-2025</v>
      </c>
    </row>
    <row r="1150" spans="1:18" x14ac:dyDescent="0.25">
      <c r="A1150" t="s">
        <v>2700</v>
      </c>
      <c r="B1150" t="s">
        <v>2701</v>
      </c>
      <c r="C1150" t="s">
        <v>17</v>
      </c>
      <c r="D1150" t="s">
        <v>9</v>
      </c>
      <c r="E1150" t="s">
        <v>698</v>
      </c>
      <c r="F1150" t="s">
        <v>5</v>
      </c>
      <c r="G1150">
        <v>3576</v>
      </c>
      <c r="H1150">
        <v>1605</v>
      </c>
      <c r="I1150">
        <v>2.0699999999999998</v>
      </c>
      <c r="J1150">
        <v>18</v>
      </c>
      <c r="K1150">
        <f t="shared" ca="1" si="1228"/>
        <v>1058</v>
      </c>
      <c r="M1150">
        <f t="shared" ca="1" si="1229"/>
        <v>1058</v>
      </c>
      <c r="N1150" t="str">
        <f t="shared" si="1230"/>
        <v>Average</v>
      </c>
      <c r="O1150" t="e">
        <f t="shared" si="1231"/>
        <v>#N/A</v>
      </c>
      <c r="P1150" t="str">
        <f t="shared" si="1232"/>
        <v>NO</v>
      </c>
      <c r="Q1150">
        <f t="shared" si="1167"/>
        <v>42003</v>
      </c>
      <c r="R1150" t="str">
        <f t="shared" si="1233"/>
        <v>2023-2024</v>
      </c>
    </row>
    <row r="1151" spans="1:18" x14ac:dyDescent="0.25">
      <c r="A1151" t="s">
        <v>2702</v>
      </c>
      <c r="B1151" t="s">
        <v>2703</v>
      </c>
      <c r="C1151" t="s">
        <v>14</v>
      </c>
      <c r="D1151" t="s">
        <v>25</v>
      </c>
      <c r="E1151" t="s">
        <v>2066</v>
      </c>
      <c r="F1151" t="s">
        <v>5</v>
      </c>
      <c r="G1151">
        <v>6142</v>
      </c>
      <c r="H1151">
        <v>1679</v>
      </c>
      <c r="I1151">
        <v>2.72</v>
      </c>
      <c r="J1151">
        <v>82</v>
      </c>
      <c r="K1151">
        <f t="shared" ca="1" si="1228"/>
        <v>717</v>
      </c>
      <c r="M1151">
        <f t="shared" ca="1" si="1229"/>
        <v>717</v>
      </c>
      <c r="N1151" t="str">
        <f t="shared" si="1230"/>
        <v>Average</v>
      </c>
      <c r="O1151" t="e">
        <f t="shared" si="1231"/>
        <v>#N/A</v>
      </c>
      <c r="P1151" t="str">
        <f t="shared" si="1232"/>
        <v>NO</v>
      </c>
      <c r="Q1151">
        <f t="shared" si="1167"/>
        <v>42003</v>
      </c>
      <c r="R1151" t="str">
        <f t="shared" si="1233"/>
        <v>2023-2024</v>
      </c>
    </row>
    <row r="1152" spans="1:18" x14ac:dyDescent="0.25">
      <c r="A1152" t="s">
        <v>2704</v>
      </c>
      <c r="B1152" t="s">
        <v>2705</v>
      </c>
      <c r="C1152" t="s">
        <v>21</v>
      </c>
      <c r="D1152" t="s">
        <v>9</v>
      </c>
      <c r="E1152" s="1">
        <v>45143</v>
      </c>
      <c r="F1152" t="s">
        <v>5</v>
      </c>
      <c r="G1152">
        <v>11980</v>
      </c>
      <c r="H1152">
        <v>6646</v>
      </c>
      <c r="I1152">
        <v>2.04</v>
      </c>
      <c r="J1152">
        <v>84</v>
      </c>
      <c r="K1152">
        <f t="shared" ca="1" si="1228"/>
        <v>824</v>
      </c>
      <c r="M1152">
        <f t="shared" ca="1" si="1229"/>
        <v>824</v>
      </c>
      <c r="N1152" t="str">
        <f t="shared" si="1230"/>
        <v>Average</v>
      </c>
      <c r="O1152" t="e">
        <f t="shared" si="1231"/>
        <v>#N/A</v>
      </c>
      <c r="P1152" t="str">
        <f t="shared" si="1232"/>
        <v>YES</v>
      </c>
      <c r="Q1152">
        <f t="shared" si="1167"/>
        <v>42003</v>
      </c>
      <c r="R1152" t="str">
        <f t="shared" si="1233"/>
        <v>2023-2024</v>
      </c>
    </row>
    <row r="1153" spans="1:18" x14ac:dyDescent="0.25">
      <c r="A1153" t="s">
        <v>2706</v>
      </c>
      <c r="B1153" t="s">
        <v>2707</v>
      </c>
      <c r="C1153" t="s">
        <v>17</v>
      </c>
      <c r="D1153" t="s">
        <v>9</v>
      </c>
      <c r="E1153" t="s">
        <v>1976</v>
      </c>
      <c r="F1153" t="s">
        <v>5</v>
      </c>
      <c r="G1153">
        <v>7486</v>
      </c>
      <c r="H1153">
        <v>7006</v>
      </c>
      <c r="I1153">
        <v>2.86</v>
      </c>
      <c r="J1153">
        <v>104</v>
      </c>
      <c r="K1153">
        <f t="shared" ca="1" si="1228"/>
        <v>506</v>
      </c>
      <c r="M1153">
        <f t="shared" ca="1" si="1229"/>
        <v>506</v>
      </c>
      <c r="N1153" t="str">
        <f t="shared" si="1230"/>
        <v>Average</v>
      </c>
      <c r="O1153" t="e">
        <f t="shared" si="1231"/>
        <v>#N/A</v>
      </c>
      <c r="P1153" t="str">
        <f t="shared" si="1232"/>
        <v>YES</v>
      </c>
      <c r="Q1153">
        <f t="shared" si="1167"/>
        <v>42003</v>
      </c>
      <c r="R1153" t="str">
        <f t="shared" si="1233"/>
        <v>2023-2024</v>
      </c>
    </row>
    <row r="1154" spans="1:18" x14ac:dyDescent="0.25">
      <c r="A1154" t="s">
        <v>2708</v>
      </c>
      <c r="B1154" t="s">
        <v>2709</v>
      </c>
      <c r="C1154" t="s">
        <v>55</v>
      </c>
      <c r="D1154" t="s">
        <v>3</v>
      </c>
      <c r="E1154" s="1">
        <v>44996</v>
      </c>
      <c r="F1154" t="s">
        <v>5</v>
      </c>
      <c r="G1154">
        <v>5997</v>
      </c>
      <c r="H1154">
        <v>6311</v>
      </c>
      <c r="I1154">
        <v>2.66</v>
      </c>
      <c r="J1154">
        <v>49</v>
      </c>
      <c r="K1154">
        <f t="shared" ca="1" si="1228"/>
        <v>971</v>
      </c>
      <c r="M1154">
        <f t="shared" ca="1" si="1229"/>
        <v>971</v>
      </c>
      <c r="N1154" t="str">
        <f t="shared" si="1230"/>
        <v>Average</v>
      </c>
      <c r="O1154" t="e">
        <f t="shared" si="1231"/>
        <v>#N/A</v>
      </c>
      <c r="P1154" t="str">
        <f t="shared" si="1232"/>
        <v>YES</v>
      </c>
      <c r="Q1154">
        <f t="shared" si="1167"/>
        <v>42003</v>
      </c>
      <c r="R1154" t="str">
        <f t="shared" si="1233"/>
        <v>2023-2024</v>
      </c>
    </row>
    <row r="1155" spans="1:18" hidden="1" x14ac:dyDescent="0.25">
      <c r="A1155" t="s">
        <v>2710</v>
      </c>
      <c r="B1155" t="s">
        <v>2711</v>
      </c>
      <c r="C1155" t="s">
        <v>55</v>
      </c>
      <c r="D1155" t="s">
        <v>25</v>
      </c>
      <c r="E1155" t="s">
        <v>317</v>
      </c>
      <c r="F1155" t="s">
        <v>11</v>
      </c>
      <c r="G1155">
        <v>10841</v>
      </c>
      <c r="H1155">
        <v>3690</v>
      </c>
      <c r="I1155">
        <v>2.39</v>
      </c>
      <c r="J1155">
        <v>68</v>
      </c>
      <c r="Q1155">
        <f t="shared" si="1167"/>
        <v>42003</v>
      </c>
    </row>
    <row r="1156" spans="1:18" x14ac:dyDescent="0.25">
      <c r="A1156" t="s">
        <v>2712</v>
      </c>
      <c r="B1156" t="s">
        <v>2713</v>
      </c>
      <c r="C1156" t="s">
        <v>17</v>
      </c>
      <c r="D1156" t="s">
        <v>65</v>
      </c>
      <c r="E1156" s="1">
        <v>45116</v>
      </c>
      <c r="F1156" t="s">
        <v>5</v>
      </c>
      <c r="G1156">
        <v>3841</v>
      </c>
      <c r="H1156">
        <v>4198</v>
      </c>
      <c r="I1156">
        <v>2.38</v>
      </c>
      <c r="J1156">
        <v>53</v>
      </c>
      <c r="K1156">
        <f t="shared" ref="K1156:K1157" ca="1" si="1234">IF(F1156="Enrolled", TODAY()-E1156, "")</f>
        <v>851</v>
      </c>
      <c r="M1156">
        <f t="shared" ref="M1156:M1157" ca="1" si="1235">IF(F1156="Enrolled",TODAY() - E1156,"")</f>
        <v>851</v>
      </c>
      <c r="N1156" t="str">
        <f t="shared" ref="N1156:N1157" si="1236">IF(I1158&gt;=3.5,"Excellent",IF(I1158&gt;=3,"Good",IF(I1158&gt;=2,"Average","Poor")))</f>
        <v>Excellent</v>
      </c>
      <c r="O1156" t="e">
        <f t="shared" ref="O1156:O1157" si="1237">VLOOKUP(D1156, $T$18:$U$23, 2, FALSE)</f>
        <v>#N/A</v>
      </c>
      <c r="P1156" t="str">
        <f t="shared" ref="P1156:P1157" si="1238">IF(H1156 &gt; 0.5 * G1156, "YES", "NO")</f>
        <v>YES</v>
      </c>
      <c r="Q1156">
        <f t="shared" si="1167"/>
        <v>42003</v>
      </c>
      <c r="R1156" t="str">
        <f t="shared" ref="R1156:R1157" si="1239">IF(MONTH(E1150)&gt;=6, YEAR(E1150) &amp; "-" &amp; YEAR(E1150)+1, YEAR(E1150)-1 &amp; "-" &amp; YEAR(E1150))</f>
        <v>2022-2023</v>
      </c>
    </row>
    <row r="1157" spans="1:18" x14ac:dyDescent="0.25">
      <c r="A1157" t="s">
        <v>2714</v>
      </c>
      <c r="B1157" t="s">
        <v>2715</v>
      </c>
      <c r="C1157" t="s">
        <v>2</v>
      </c>
      <c r="D1157" t="s">
        <v>65</v>
      </c>
      <c r="E1157" s="1">
        <v>45632</v>
      </c>
      <c r="F1157" t="s">
        <v>5</v>
      </c>
      <c r="G1157">
        <v>13164</v>
      </c>
      <c r="H1157">
        <v>4550</v>
      </c>
      <c r="I1157">
        <v>3.08</v>
      </c>
      <c r="J1157">
        <v>62</v>
      </c>
      <c r="K1157">
        <f t="shared" ca="1" si="1234"/>
        <v>335</v>
      </c>
      <c r="M1157">
        <f t="shared" ca="1" si="1235"/>
        <v>335</v>
      </c>
      <c r="N1157" t="str">
        <f t="shared" si="1236"/>
        <v>Average</v>
      </c>
      <c r="O1157" t="e">
        <f t="shared" si="1237"/>
        <v>#N/A</v>
      </c>
      <c r="P1157" t="str">
        <f t="shared" si="1238"/>
        <v>NO</v>
      </c>
      <c r="Q1157">
        <f t="shared" si="1167"/>
        <v>42003</v>
      </c>
      <c r="R1157" t="str">
        <f t="shared" si="1239"/>
        <v>2023-2024</v>
      </c>
    </row>
    <row r="1158" spans="1:18" hidden="1" x14ac:dyDescent="0.25">
      <c r="A1158" t="s">
        <v>2716</v>
      </c>
      <c r="B1158" t="s">
        <v>2717</v>
      </c>
      <c r="C1158" t="s">
        <v>14</v>
      </c>
      <c r="D1158" t="s">
        <v>3</v>
      </c>
      <c r="E1158" t="s">
        <v>1166</v>
      </c>
      <c r="F1158" t="s">
        <v>36</v>
      </c>
      <c r="G1158">
        <v>5796</v>
      </c>
      <c r="H1158">
        <v>9267</v>
      </c>
      <c r="I1158">
        <v>3.81</v>
      </c>
      <c r="J1158">
        <v>68</v>
      </c>
      <c r="Q1158">
        <f t="shared" si="1167"/>
        <v>42003</v>
      </c>
    </row>
    <row r="1159" spans="1:18" x14ac:dyDescent="0.25">
      <c r="A1159" t="s">
        <v>2718</v>
      </c>
      <c r="B1159" t="s">
        <v>2719</v>
      </c>
      <c r="C1159" t="s">
        <v>14</v>
      </c>
      <c r="D1159" t="s">
        <v>25</v>
      </c>
      <c r="E1159" t="s">
        <v>1475</v>
      </c>
      <c r="F1159" t="s">
        <v>5</v>
      </c>
      <c r="G1159">
        <v>9635</v>
      </c>
      <c r="H1159">
        <v>3090</v>
      </c>
      <c r="I1159">
        <v>2.99</v>
      </c>
      <c r="J1159">
        <v>33</v>
      </c>
      <c r="K1159">
        <f t="shared" ref="K1159:K1161" ca="1" si="1240">IF(F1159="Enrolled", TODAY()-E1159, "")</f>
        <v>1233</v>
      </c>
      <c r="M1159">
        <f t="shared" ref="M1159:M1161" ca="1" si="1241">IF(F1159="Enrolled",TODAY() - E1159,"")</f>
        <v>1233</v>
      </c>
      <c r="N1159" t="str">
        <f t="shared" ref="N1159:N1161" si="1242">IF(I1161&gt;=3.5,"Excellent",IF(I1161&gt;=3,"Good",IF(I1161&gt;=2,"Average","Poor")))</f>
        <v>Good</v>
      </c>
      <c r="O1159" t="e">
        <f t="shared" ref="O1159:O1161" si="1243">VLOOKUP(D1159, $T$18:$U$23, 2, FALSE)</f>
        <v>#N/A</v>
      </c>
      <c r="P1159" t="str">
        <f t="shared" ref="P1159:P1161" si="1244">IF(H1159 &gt; 0.5 * G1159, "YES", "NO")</f>
        <v>NO</v>
      </c>
      <c r="Q1159">
        <f t="shared" si="1167"/>
        <v>42003</v>
      </c>
      <c r="R1159" t="str">
        <f t="shared" ref="R1159:R1161" si="1245">IF(MONTH(E1153)&gt;=6, YEAR(E1153) &amp; "-" &amp; YEAR(E1153)+1, YEAR(E1153)-1 &amp; "-" &amp; YEAR(E1153))</f>
        <v>2024-2025</v>
      </c>
    </row>
    <row r="1160" spans="1:18" x14ac:dyDescent="0.25">
      <c r="A1160" t="s">
        <v>2720</v>
      </c>
      <c r="B1160" t="s">
        <v>2721</v>
      </c>
      <c r="C1160" t="s">
        <v>8</v>
      </c>
      <c r="D1160" t="s">
        <v>3</v>
      </c>
      <c r="E1160" t="s">
        <v>2722</v>
      </c>
      <c r="F1160" t="s">
        <v>5</v>
      </c>
      <c r="G1160">
        <v>2086</v>
      </c>
      <c r="H1160">
        <v>9790</v>
      </c>
      <c r="I1160">
        <v>2.17</v>
      </c>
      <c r="J1160">
        <v>27</v>
      </c>
      <c r="K1160">
        <f t="shared" ca="1" si="1240"/>
        <v>624</v>
      </c>
      <c r="M1160">
        <f t="shared" ca="1" si="1241"/>
        <v>624</v>
      </c>
      <c r="N1160" t="str">
        <f t="shared" si="1242"/>
        <v>Good</v>
      </c>
      <c r="O1160" t="e">
        <f t="shared" si="1243"/>
        <v>#N/A</v>
      </c>
      <c r="P1160" t="str">
        <f t="shared" si="1244"/>
        <v>YES</v>
      </c>
      <c r="Q1160">
        <f t="shared" si="1167"/>
        <v>42003</v>
      </c>
      <c r="R1160" t="str">
        <f t="shared" si="1245"/>
        <v>2022-2023</v>
      </c>
    </row>
    <row r="1161" spans="1:18" x14ac:dyDescent="0.25">
      <c r="A1161" t="s">
        <v>2723</v>
      </c>
      <c r="B1161" t="s">
        <v>2724</v>
      </c>
      <c r="C1161" t="s">
        <v>14</v>
      </c>
      <c r="D1161" t="s">
        <v>25</v>
      </c>
      <c r="E1161" s="1">
        <v>44572</v>
      </c>
      <c r="F1161" t="s">
        <v>5</v>
      </c>
      <c r="G1161">
        <v>8164</v>
      </c>
      <c r="H1161">
        <v>1674</v>
      </c>
      <c r="I1161">
        <v>3.24</v>
      </c>
      <c r="J1161">
        <v>114</v>
      </c>
      <c r="K1161">
        <f t="shared" ca="1" si="1240"/>
        <v>1395</v>
      </c>
      <c r="M1161">
        <f t="shared" ca="1" si="1241"/>
        <v>1395</v>
      </c>
      <c r="N1161" t="str">
        <f t="shared" si="1242"/>
        <v>Average</v>
      </c>
      <c r="O1161" t="e">
        <f t="shared" si="1243"/>
        <v>#N/A</v>
      </c>
      <c r="P1161" t="str">
        <f t="shared" si="1244"/>
        <v>NO</v>
      </c>
      <c r="Q1161">
        <f t="shared" si="1167"/>
        <v>42003</v>
      </c>
      <c r="R1161" t="str">
        <f t="shared" si="1245"/>
        <v>2021-2022</v>
      </c>
    </row>
    <row r="1162" spans="1:18" hidden="1" x14ac:dyDescent="0.25">
      <c r="A1162" t="s">
        <v>2725</v>
      </c>
      <c r="B1162" t="s">
        <v>2726</v>
      </c>
      <c r="C1162" t="s">
        <v>21</v>
      </c>
      <c r="D1162" t="s">
        <v>9</v>
      </c>
      <c r="E1162" s="1">
        <v>45357</v>
      </c>
      <c r="F1162" t="s">
        <v>11</v>
      </c>
      <c r="G1162">
        <v>8694</v>
      </c>
      <c r="H1162">
        <v>4198</v>
      </c>
      <c r="I1162">
        <v>3.36</v>
      </c>
      <c r="J1162">
        <v>28</v>
      </c>
      <c r="Q1162">
        <f t="shared" si="1167"/>
        <v>42003</v>
      </c>
    </row>
    <row r="1163" spans="1:18" hidden="1" x14ac:dyDescent="0.25">
      <c r="A1163" t="s">
        <v>2727</v>
      </c>
      <c r="B1163" t="s">
        <v>2728</v>
      </c>
      <c r="C1163" t="s">
        <v>8</v>
      </c>
      <c r="D1163" t="s">
        <v>3</v>
      </c>
      <c r="E1163" s="1">
        <v>44933</v>
      </c>
      <c r="F1163" t="s">
        <v>36</v>
      </c>
      <c r="G1163">
        <v>2766</v>
      </c>
      <c r="H1163">
        <v>3689</v>
      </c>
      <c r="I1163">
        <v>2.29</v>
      </c>
      <c r="J1163">
        <v>38</v>
      </c>
      <c r="Q1163">
        <f t="shared" si="1167"/>
        <v>33309</v>
      </c>
    </row>
    <row r="1164" spans="1:18" x14ac:dyDescent="0.25">
      <c r="A1164" t="s">
        <v>2729</v>
      </c>
      <c r="B1164" t="s">
        <v>2730</v>
      </c>
      <c r="C1164" t="s">
        <v>58</v>
      </c>
      <c r="D1164" t="s">
        <v>9</v>
      </c>
      <c r="E1164" t="s">
        <v>1236</v>
      </c>
      <c r="F1164" t="s">
        <v>5</v>
      </c>
      <c r="G1164">
        <v>8228</v>
      </c>
      <c r="H1164">
        <v>2328</v>
      </c>
      <c r="I1164">
        <v>2.2000000000000002</v>
      </c>
      <c r="J1164">
        <v>113</v>
      </c>
      <c r="K1164">
        <f t="shared" ref="K1164:K1165" ca="1" si="1246">IF(F1164="Enrolled", TODAY()-E1164, "")</f>
        <v>1150</v>
      </c>
      <c r="M1164">
        <f t="shared" ref="M1164:M1165" ca="1" si="1247">IF(F1164="Enrolled",TODAY() - E1164,"")</f>
        <v>1150</v>
      </c>
      <c r="N1164" t="str">
        <f t="shared" ref="N1164:N1165" si="1248">IF(I1166&gt;=3.5,"Excellent",IF(I1166&gt;=3,"Good",IF(I1166&gt;=2,"Average","Poor")))</f>
        <v>Excellent</v>
      </c>
      <c r="O1164" t="e">
        <f t="shared" ref="O1164:O1165" si="1249">VLOOKUP(D1164, $T$18:$U$23, 2, FALSE)</f>
        <v>#N/A</v>
      </c>
      <c r="P1164" t="str">
        <f t="shared" ref="P1164:P1165" si="1250">IF(H1164 &gt; 0.5 * G1164, "YES", "NO")</f>
        <v>NO</v>
      </c>
      <c r="Q1164">
        <f t="shared" si="1167"/>
        <v>33309</v>
      </c>
      <c r="R1164" t="str">
        <f t="shared" ref="R1164:R1165" si="1251">IF(MONTH(E1158)&gt;=6, YEAR(E1158) &amp; "-" &amp; YEAR(E1158)+1, YEAR(E1158)-1 &amp; "-" &amp; YEAR(E1158))</f>
        <v>2022-2023</v>
      </c>
    </row>
    <row r="1165" spans="1:18" x14ac:dyDescent="0.25">
      <c r="A1165" t="s">
        <v>2731</v>
      </c>
      <c r="B1165" t="s">
        <v>2732</v>
      </c>
      <c r="C1165" t="s">
        <v>8</v>
      </c>
      <c r="D1165" t="s">
        <v>25</v>
      </c>
      <c r="E1165" t="s">
        <v>247</v>
      </c>
      <c r="F1165" t="s">
        <v>5</v>
      </c>
      <c r="G1165">
        <v>6310</v>
      </c>
      <c r="H1165">
        <v>6133</v>
      </c>
      <c r="I1165">
        <v>3.37</v>
      </c>
      <c r="J1165">
        <v>82</v>
      </c>
      <c r="K1165">
        <f t="shared" ca="1" si="1246"/>
        <v>1021</v>
      </c>
      <c r="M1165">
        <f t="shared" ca="1" si="1247"/>
        <v>1021</v>
      </c>
      <c r="N1165" t="str">
        <f t="shared" si="1248"/>
        <v>Excellent</v>
      </c>
      <c r="O1165" t="e">
        <f t="shared" si="1249"/>
        <v>#N/A</v>
      </c>
      <c r="P1165" t="str">
        <f t="shared" si="1250"/>
        <v>YES</v>
      </c>
      <c r="Q1165">
        <f t="shared" ref="Q1165:Q1172" si="1252">SUMIFS(G1165:G2363, F1165:F2363, "Completed", D1165:D2363, "Science")</f>
        <v>33309</v>
      </c>
      <c r="R1165" t="str">
        <f t="shared" si="1251"/>
        <v>2022-2023</v>
      </c>
    </row>
    <row r="1166" spans="1:18" hidden="1" x14ac:dyDescent="0.25">
      <c r="A1166" t="s">
        <v>2733</v>
      </c>
      <c r="B1166" t="s">
        <v>2734</v>
      </c>
      <c r="C1166" t="s">
        <v>14</v>
      </c>
      <c r="D1166" t="s">
        <v>3</v>
      </c>
      <c r="E1166" t="s">
        <v>534</v>
      </c>
      <c r="F1166" t="s">
        <v>11</v>
      </c>
      <c r="G1166">
        <v>7845</v>
      </c>
      <c r="H1166">
        <v>8796</v>
      </c>
      <c r="I1166">
        <v>3.54</v>
      </c>
      <c r="J1166">
        <v>22</v>
      </c>
      <c r="Q1166">
        <f t="shared" si="1252"/>
        <v>33309</v>
      </c>
    </row>
    <row r="1167" spans="1:18" x14ac:dyDescent="0.25">
      <c r="A1167" t="s">
        <v>2735</v>
      </c>
      <c r="B1167" t="s">
        <v>2736</v>
      </c>
      <c r="C1167" t="s">
        <v>2</v>
      </c>
      <c r="D1167" t="s">
        <v>3</v>
      </c>
      <c r="E1167" t="s">
        <v>1786</v>
      </c>
      <c r="F1167" t="s">
        <v>5</v>
      </c>
      <c r="G1167">
        <v>9700</v>
      </c>
      <c r="H1167">
        <v>5277</v>
      </c>
      <c r="I1167">
        <v>3.74</v>
      </c>
      <c r="J1167">
        <v>61</v>
      </c>
      <c r="K1167">
        <f t="shared" ref="K1167:K1169" ca="1" si="1253">IF(F1167="Enrolled", TODAY()-E1167, "")</f>
        <v>1167</v>
      </c>
      <c r="M1167">
        <f t="shared" ref="M1167:M1169" ca="1" si="1254">IF(F1167="Enrolled",TODAY() - E1167,"")</f>
        <v>1167</v>
      </c>
      <c r="N1167" t="str">
        <f t="shared" ref="N1167:N1169" si="1255">IF(I1169&gt;=3.5,"Excellent",IF(I1169&gt;=3,"Good",IF(I1169&gt;=2,"Average","Poor")))</f>
        <v>Good</v>
      </c>
      <c r="O1167" t="e">
        <f t="shared" ref="O1167:O1169" si="1256">VLOOKUP(D1167, $T$18:$U$23, 2, FALSE)</f>
        <v>#N/A</v>
      </c>
      <c r="P1167" t="str">
        <f t="shared" ref="P1167:P1169" si="1257">IF(H1167 &gt; 0.5 * G1167, "YES", "NO")</f>
        <v>YES</v>
      </c>
      <c r="Q1167">
        <f t="shared" si="1252"/>
        <v>33309</v>
      </c>
      <c r="R1167" t="str">
        <f t="shared" ref="R1167:R1169" si="1258">IF(MONTH(E1161)&gt;=6, YEAR(E1161) &amp; "-" &amp; YEAR(E1161)+1, YEAR(E1161)-1 &amp; "-" &amp; YEAR(E1161))</f>
        <v>2021-2022</v>
      </c>
    </row>
    <row r="1168" spans="1:18" x14ac:dyDescent="0.25">
      <c r="A1168" t="s">
        <v>2737</v>
      </c>
      <c r="B1168" t="s">
        <v>2738</v>
      </c>
      <c r="C1168" t="s">
        <v>32</v>
      </c>
      <c r="D1168" t="s">
        <v>25</v>
      </c>
      <c r="E1168" t="s">
        <v>222</v>
      </c>
      <c r="F1168" t="s">
        <v>5</v>
      </c>
      <c r="G1168">
        <v>6402</v>
      </c>
      <c r="H1168">
        <v>8298</v>
      </c>
      <c r="I1168">
        <v>2.7</v>
      </c>
      <c r="J1168">
        <v>24</v>
      </c>
      <c r="K1168">
        <f t="shared" ca="1" si="1253"/>
        <v>529</v>
      </c>
      <c r="M1168">
        <f t="shared" ca="1" si="1254"/>
        <v>529</v>
      </c>
      <c r="N1168" t="str">
        <f t="shared" si="1255"/>
        <v>Good</v>
      </c>
      <c r="O1168" t="e">
        <f t="shared" si="1256"/>
        <v>#N/A</v>
      </c>
      <c r="P1168" t="str">
        <f t="shared" si="1257"/>
        <v>YES</v>
      </c>
      <c r="Q1168">
        <f t="shared" si="1252"/>
        <v>33309</v>
      </c>
      <c r="R1168" t="str">
        <f t="shared" si="1258"/>
        <v>2023-2024</v>
      </c>
    </row>
    <row r="1169" spans="1:18" x14ac:dyDescent="0.25">
      <c r="A1169" t="s">
        <v>2739</v>
      </c>
      <c r="B1169" t="s">
        <v>2740</v>
      </c>
      <c r="C1169" t="s">
        <v>58</v>
      </c>
      <c r="D1169" t="s">
        <v>25</v>
      </c>
      <c r="E1169" s="1">
        <v>45054</v>
      </c>
      <c r="F1169" t="s">
        <v>5</v>
      </c>
      <c r="G1169">
        <v>9573</v>
      </c>
      <c r="H1169">
        <v>6314</v>
      </c>
      <c r="I1169">
        <v>3.03</v>
      </c>
      <c r="J1169">
        <v>20</v>
      </c>
      <c r="K1169">
        <f t="shared" ca="1" si="1253"/>
        <v>913</v>
      </c>
      <c r="M1169">
        <f t="shared" ca="1" si="1254"/>
        <v>913</v>
      </c>
      <c r="N1169" t="str">
        <f t="shared" si="1255"/>
        <v>Average</v>
      </c>
      <c r="O1169" t="e">
        <f t="shared" si="1256"/>
        <v>#N/A</v>
      </c>
      <c r="P1169" t="str">
        <f t="shared" si="1257"/>
        <v>YES</v>
      </c>
      <c r="Q1169">
        <f t="shared" si="1252"/>
        <v>33309</v>
      </c>
      <c r="R1169" t="str">
        <f t="shared" si="1258"/>
        <v>2022-2023</v>
      </c>
    </row>
    <row r="1170" spans="1:18" hidden="1" x14ac:dyDescent="0.25">
      <c r="A1170" t="s">
        <v>2741</v>
      </c>
      <c r="B1170" t="s">
        <v>2742</v>
      </c>
      <c r="C1170" t="s">
        <v>21</v>
      </c>
      <c r="D1170" t="s">
        <v>3</v>
      </c>
      <c r="E1170" t="s">
        <v>874</v>
      </c>
      <c r="F1170" t="s">
        <v>11</v>
      </c>
      <c r="G1170">
        <v>7706</v>
      </c>
      <c r="H1170">
        <v>6640</v>
      </c>
      <c r="I1170">
        <v>3.18</v>
      </c>
      <c r="J1170">
        <v>59</v>
      </c>
      <c r="Q1170">
        <f t="shared" si="1252"/>
        <v>33309</v>
      </c>
    </row>
    <row r="1171" spans="1:18" x14ac:dyDescent="0.25">
      <c r="A1171" t="s">
        <v>2743</v>
      </c>
      <c r="B1171" t="s">
        <v>2744</v>
      </c>
      <c r="C1171" t="s">
        <v>2</v>
      </c>
      <c r="D1171" t="s">
        <v>25</v>
      </c>
      <c r="E1171" s="1">
        <v>44599</v>
      </c>
      <c r="F1171" t="s">
        <v>5</v>
      </c>
      <c r="G1171">
        <v>12608</v>
      </c>
      <c r="H1171">
        <v>1280</v>
      </c>
      <c r="I1171">
        <v>2.16</v>
      </c>
      <c r="J1171">
        <v>69</v>
      </c>
      <c r="K1171">
        <f t="shared" ref="K1171" ca="1" si="1259">IF(F1171="Enrolled", TODAY()-E1171, "")</f>
        <v>1368</v>
      </c>
      <c r="M1171">
        <f ca="1">IF(F1171="Enrolled",TODAY() - E1171,"")</f>
        <v>1368</v>
      </c>
      <c r="N1171" t="str">
        <f>IF(I1173&gt;=3.5,"Excellent",IF(I1173&gt;=3,"Good",IF(I1173&gt;=2,"Average","Poor")))</f>
        <v>Good</v>
      </c>
      <c r="O1171" t="e">
        <f>VLOOKUP(D1171, $T$18:$U$23, 2, FALSE)</f>
        <v>#N/A</v>
      </c>
      <c r="P1171" t="str">
        <f>IF(H1171 &gt; 0.5 * G1171, "YES", "NO")</f>
        <v>NO</v>
      </c>
      <c r="Q1171">
        <f t="shared" si="1252"/>
        <v>33309</v>
      </c>
      <c r="R1171" t="str">
        <f t="shared" ref="R1171" si="1260">IF(MONTH(E1165)&gt;=6, YEAR(E1165) &amp; "-" &amp; YEAR(E1165)+1, YEAR(E1165)-1 &amp; "-" &amp; YEAR(E1165))</f>
        <v>2022-2023</v>
      </c>
    </row>
    <row r="1172" spans="1:18" hidden="1" x14ac:dyDescent="0.25">
      <c r="A1172" t="s">
        <v>2745</v>
      </c>
      <c r="B1172" t="s">
        <v>2746</v>
      </c>
      <c r="C1172" t="s">
        <v>17</v>
      </c>
      <c r="D1172" t="s">
        <v>65</v>
      </c>
      <c r="E1172" t="s">
        <v>1503</v>
      </c>
      <c r="F1172" t="s">
        <v>11</v>
      </c>
      <c r="G1172">
        <v>8446</v>
      </c>
      <c r="H1172">
        <v>2499</v>
      </c>
      <c r="I1172">
        <v>2.5099999999999998</v>
      </c>
      <c r="J1172">
        <v>20</v>
      </c>
      <c r="Q1172">
        <f t="shared" si="1252"/>
        <v>33309</v>
      </c>
    </row>
    <row r="1173" spans="1:18" x14ac:dyDescent="0.25">
      <c r="A1173" t="s">
        <v>2747</v>
      </c>
      <c r="B1173" t="s">
        <v>2748</v>
      </c>
      <c r="C1173" t="s">
        <v>21</v>
      </c>
      <c r="D1173" t="s">
        <v>9</v>
      </c>
      <c r="E1173" s="1">
        <v>45629</v>
      </c>
      <c r="F1173" t="s">
        <v>5</v>
      </c>
      <c r="G1173">
        <v>2545</v>
      </c>
      <c r="H1173">
        <v>7321</v>
      </c>
      <c r="I1173">
        <v>3.37</v>
      </c>
      <c r="J1173">
        <v>92</v>
      </c>
      <c r="K1173">
        <f t="shared" ref="K1173:K1175" ca="1" si="1261">IF(F1173="Enrolled", TODAY()-E1173, "")</f>
        <v>338</v>
      </c>
      <c r="M1173">
        <f t="shared" ref="M1173:M1175" ca="1" si="1262">IF(F1173="Enrolled",TODAY() - E1173,"")</f>
        <v>338</v>
      </c>
      <c r="N1173" t="str">
        <f t="shared" ref="N1173:N1175" si="1263">IF(I1175&gt;=3.5,"Excellent",IF(I1175&gt;=3,"Good",IF(I1175&gt;=2,"Average","Poor")))</f>
        <v>Average</v>
      </c>
      <c r="O1173" t="e">
        <f t="shared" ref="O1173:O1175" si="1264">VLOOKUP(D1173, $T$18:$U$23, 2, FALSE)</f>
        <v>#N/A</v>
      </c>
      <c r="P1173" t="str">
        <f t="shared" ref="P1173:P1175" si="1265">IF(H1173 &gt; 0.5 * G1173, "YES", "NO")</f>
        <v>YES</v>
      </c>
      <c r="Q1173">
        <f t="shared" ref="Q1173:Q1201" si="1266">SUMIFS(G1173:G2371, F1173:F2371, "Completed", D1173:D2371, "Science")</f>
        <v>33309</v>
      </c>
      <c r="R1173" t="str">
        <f t="shared" ref="R1173:R1175" si="1267">IF(MONTH(E1167)&gt;=6, YEAR(E1167) &amp; "-" &amp; YEAR(E1167)+1, YEAR(E1167)-1 &amp; "-" &amp; YEAR(E1167))</f>
        <v>2022-2023</v>
      </c>
    </row>
    <row r="1174" spans="1:18" x14ac:dyDescent="0.25">
      <c r="A1174" t="s">
        <v>2749</v>
      </c>
      <c r="B1174" t="s">
        <v>2750</v>
      </c>
      <c r="C1174" t="s">
        <v>21</v>
      </c>
      <c r="D1174" t="s">
        <v>65</v>
      </c>
      <c r="E1174" s="1">
        <v>44871</v>
      </c>
      <c r="F1174" t="s">
        <v>5</v>
      </c>
      <c r="G1174">
        <v>8550</v>
      </c>
      <c r="H1174">
        <v>4769</v>
      </c>
      <c r="I1174">
        <v>3.71</v>
      </c>
      <c r="J1174">
        <v>96</v>
      </c>
      <c r="K1174">
        <f t="shared" ca="1" si="1261"/>
        <v>1096</v>
      </c>
      <c r="M1174">
        <f t="shared" ca="1" si="1262"/>
        <v>1096</v>
      </c>
      <c r="N1174" t="str">
        <f t="shared" si="1263"/>
        <v>Good</v>
      </c>
      <c r="O1174" t="e">
        <f t="shared" si="1264"/>
        <v>#N/A</v>
      </c>
      <c r="P1174" t="str">
        <f t="shared" si="1265"/>
        <v>YES</v>
      </c>
      <c r="Q1174">
        <f t="shared" si="1266"/>
        <v>33309</v>
      </c>
      <c r="R1174" t="str">
        <f t="shared" si="1267"/>
        <v>2023-2024</v>
      </c>
    </row>
    <row r="1175" spans="1:18" x14ac:dyDescent="0.25">
      <c r="A1175" t="s">
        <v>2751</v>
      </c>
      <c r="B1175" t="s">
        <v>2752</v>
      </c>
      <c r="C1175" t="s">
        <v>2</v>
      </c>
      <c r="D1175" t="s">
        <v>9</v>
      </c>
      <c r="E1175" t="s">
        <v>537</v>
      </c>
      <c r="F1175" t="s">
        <v>5</v>
      </c>
      <c r="G1175">
        <v>12524</v>
      </c>
      <c r="H1175">
        <v>7194</v>
      </c>
      <c r="I1175">
        <v>2.37</v>
      </c>
      <c r="J1175">
        <v>83</v>
      </c>
      <c r="K1175">
        <f t="shared" ca="1" si="1261"/>
        <v>804</v>
      </c>
      <c r="M1175">
        <f t="shared" ca="1" si="1262"/>
        <v>804</v>
      </c>
      <c r="N1175" t="str">
        <f t="shared" si="1263"/>
        <v>Average</v>
      </c>
      <c r="O1175" t="e">
        <f t="shared" si="1264"/>
        <v>#N/A</v>
      </c>
      <c r="P1175" t="str">
        <f t="shared" si="1265"/>
        <v>YES</v>
      </c>
      <c r="Q1175">
        <f t="shared" si="1266"/>
        <v>33309</v>
      </c>
      <c r="R1175" t="str">
        <f t="shared" si="1267"/>
        <v>2022-2023</v>
      </c>
    </row>
    <row r="1176" spans="1:18" hidden="1" x14ac:dyDescent="0.25">
      <c r="A1176" t="s">
        <v>2753</v>
      </c>
      <c r="B1176" t="s">
        <v>2754</v>
      </c>
      <c r="C1176" t="s">
        <v>32</v>
      </c>
      <c r="D1176" t="s">
        <v>25</v>
      </c>
      <c r="E1176" t="s">
        <v>68</v>
      </c>
      <c r="F1176" t="s">
        <v>11</v>
      </c>
      <c r="G1176">
        <v>10890</v>
      </c>
      <c r="H1176">
        <v>155</v>
      </c>
      <c r="I1176">
        <v>3.4</v>
      </c>
      <c r="J1176">
        <v>5</v>
      </c>
      <c r="Q1176">
        <f t="shared" si="1266"/>
        <v>33309</v>
      </c>
    </row>
    <row r="1177" spans="1:18" x14ac:dyDescent="0.25">
      <c r="A1177" t="s">
        <v>2755</v>
      </c>
      <c r="B1177" t="s">
        <v>2756</v>
      </c>
      <c r="C1177" t="s">
        <v>55</v>
      </c>
      <c r="D1177" t="s">
        <v>65</v>
      </c>
      <c r="E1177" t="s">
        <v>1804</v>
      </c>
      <c r="F1177" t="s">
        <v>5</v>
      </c>
      <c r="G1177">
        <v>2192</v>
      </c>
      <c r="H1177">
        <v>6436</v>
      </c>
      <c r="I1177">
        <v>2.78</v>
      </c>
      <c r="J1177">
        <v>40</v>
      </c>
      <c r="K1177">
        <f t="shared" ref="K1177:K1179" ca="1" si="1268">IF(F1177="Enrolled", TODAY()-E1177, "")</f>
        <v>1270</v>
      </c>
      <c r="M1177">
        <f t="shared" ref="M1177:M1179" ca="1" si="1269">IF(F1177="Enrolled",TODAY() - E1177,"")</f>
        <v>1270</v>
      </c>
      <c r="N1177" t="str">
        <f t="shared" ref="N1177:N1179" si="1270">IF(I1179&gt;=3.5,"Excellent",IF(I1179&gt;=3,"Good",IF(I1179&gt;=2,"Average","Poor")))</f>
        <v>Average</v>
      </c>
      <c r="O1177" t="e">
        <f t="shared" ref="O1177:O1179" si="1271">VLOOKUP(D1177, $T$18:$U$23, 2, FALSE)</f>
        <v>#N/A</v>
      </c>
      <c r="P1177" t="str">
        <f t="shared" ref="P1177:P1179" si="1272">IF(H1177 &gt; 0.5 * G1177, "YES", "NO")</f>
        <v>YES</v>
      </c>
      <c r="Q1177">
        <f t="shared" si="1266"/>
        <v>33309</v>
      </c>
      <c r="R1177" t="str">
        <f t="shared" ref="R1177:R1179" si="1273">IF(MONTH(E1171)&gt;=6, YEAR(E1171) &amp; "-" &amp; YEAR(E1171)+1, YEAR(E1171)-1 &amp; "-" &amp; YEAR(E1171))</f>
        <v>2021-2022</v>
      </c>
    </row>
    <row r="1178" spans="1:18" x14ac:dyDescent="0.25">
      <c r="A1178" t="s">
        <v>2757</v>
      </c>
      <c r="B1178" t="s">
        <v>2758</v>
      </c>
      <c r="C1178" t="s">
        <v>58</v>
      </c>
      <c r="D1178" t="s">
        <v>3</v>
      </c>
      <c r="E1178" t="s">
        <v>2626</v>
      </c>
      <c r="F1178" t="s">
        <v>5</v>
      </c>
      <c r="G1178">
        <v>5414</v>
      </c>
      <c r="H1178">
        <v>7691</v>
      </c>
      <c r="I1178">
        <v>2.96</v>
      </c>
      <c r="J1178">
        <v>85</v>
      </c>
      <c r="K1178">
        <f t="shared" ca="1" si="1268"/>
        <v>538</v>
      </c>
      <c r="M1178">
        <f t="shared" ca="1" si="1269"/>
        <v>538</v>
      </c>
      <c r="N1178" t="str">
        <f t="shared" si="1270"/>
        <v>Good</v>
      </c>
      <c r="O1178" t="e">
        <f t="shared" si="1271"/>
        <v>#N/A</v>
      </c>
      <c r="P1178" t="str">
        <f t="shared" si="1272"/>
        <v>YES</v>
      </c>
      <c r="Q1178">
        <f t="shared" si="1266"/>
        <v>33309</v>
      </c>
      <c r="R1178" t="str">
        <f t="shared" si="1273"/>
        <v>2023-2024</v>
      </c>
    </row>
    <row r="1179" spans="1:18" x14ac:dyDescent="0.25">
      <c r="A1179" t="s">
        <v>2759</v>
      </c>
      <c r="B1179" t="s">
        <v>2760</v>
      </c>
      <c r="C1179" t="s">
        <v>21</v>
      </c>
      <c r="D1179" t="s">
        <v>3</v>
      </c>
      <c r="E1179" t="s">
        <v>2761</v>
      </c>
      <c r="F1179" t="s">
        <v>5</v>
      </c>
      <c r="G1179">
        <v>14445</v>
      </c>
      <c r="H1179">
        <v>8067</v>
      </c>
      <c r="I1179">
        <v>2.42</v>
      </c>
      <c r="J1179">
        <v>115</v>
      </c>
      <c r="K1179">
        <f t="shared" ca="1" si="1268"/>
        <v>1013</v>
      </c>
      <c r="M1179">
        <f t="shared" ca="1" si="1269"/>
        <v>1013</v>
      </c>
      <c r="N1179" t="str">
        <f t="shared" si="1270"/>
        <v>Average</v>
      </c>
      <c r="O1179" t="e">
        <f t="shared" si="1271"/>
        <v>#N/A</v>
      </c>
      <c r="P1179" t="str">
        <f t="shared" si="1272"/>
        <v>YES</v>
      </c>
      <c r="Q1179">
        <f t="shared" si="1266"/>
        <v>33309</v>
      </c>
      <c r="R1179" t="str">
        <f t="shared" si="1273"/>
        <v>2024-2025</v>
      </c>
    </row>
    <row r="1180" spans="1:18" hidden="1" x14ac:dyDescent="0.25">
      <c r="A1180" t="s">
        <v>2762</v>
      </c>
      <c r="B1180" t="s">
        <v>2763</v>
      </c>
      <c r="C1180" t="s">
        <v>21</v>
      </c>
      <c r="D1180" t="s">
        <v>9</v>
      </c>
      <c r="E1180" s="1">
        <v>44629</v>
      </c>
      <c r="F1180" t="s">
        <v>11</v>
      </c>
      <c r="G1180">
        <v>6203</v>
      </c>
      <c r="H1180">
        <v>4414</v>
      </c>
      <c r="I1180">
        <v>3.19</v>
      </c>
      <c r="J1180">
        <v>8</v>
      </c>
      <c r="Q1180">
        <f t="shared" si="1266"/>
        <v>33309</v>
      </c>
    </row>
    <row r="1181" spans="1:18" hidden="1" x14ac:dyDescent="0.25">
      <c r="A1181" t="s">
        <v>2764</v>
      </c>
      <c r="B1181" t="s">
        <v>2765</v>
      </c>
      <c r="C1181" t="s">
        <v>58</v>
      </c>
      <c r="D1181" t="s">
        <v>25</v>
      </c>
      <c r="E1181" s="1">
        <v>44927</v>
      </c>
      <c r="F1181" t="s">
        <v>11</v>
      </c>
      <c r="G1181">
        <v>2102</v>
      </c>
      <c r="H1181">
        <v>541</v>
      </c>
      <c r="I1181">
        <v>2.87</v>
      </c>
      <c r="J1181">
        <v>65</v>
      </c>
      <c r="Q1181">
        <f t="shared" si="1266"/>
        <v>27106</v>
      </c>
    </row>
    <row r="1182" spans="1:18" x14ac:dyDescent="0.25">
      <c r="A1182" t="s">
        <v>2766</v>
      </c>
      <c r="B1182" t="s">
        <v>2767</v>
      </c>
      <c r="C1182" t="s">
        <v>58</v>
      </c>
      <c r="D1182" t="s">
        <v>25</v>
      </c>
      <c r="E1182" t="s">
        <v>2479</v>
      </c>
      <c r="F1182" t="s">
        <v>5</v>
      </c>
      <c r="G1182">
        <v>11324</v>
      </c>
      <c r="H1182">
        <v>3891</v>
      </c>
      <c r="I1182">
        <v>2.94</v>
      </c>
      <c r="J1182">
        <v>86</v>
      </c>
      <c r="K1182">
        <f t="shared" ref="K1182:K1184" ca="1" si="1274">IF(F1182="Enrolled", TODAY()-E1182, "")</f>
        <v>1225</v>
      </c>
      <c r="M1182">
        <f t="shared" ref="M1182:M1184" ca="1" si="1275">IF(F1182="Enrolled",TODAY() - E1182,"")</f>
        <v>1225</v>
      </c>
      <c r="N1182" t="str">
        <f t="shared" ref="N1182:N1184" si="1276">IF(I1184&gt;=3.5,"Excellent",IF(I1184&gt;=3,"Good",IF(I1184&gt;=2,"Average","Poor")))</f>
        <v>Average</v>
      </c>
      <c r="O1182" t="e">
        <f t="shared" ref="O1182:O1184" si="1277">VLOOKUP(D1182, $T$18:$U$23, 2, FALSE)</f>
        <v>#N/A</v>
      </c>
      <c r="P1182" t="str">
        <f t="shared" ref="P1182:P1184" si="1278">IF(H1182 &gt; 0.5 * G1182, "YES", "NO")</f>
        <v>NO</v>
      </c>
      <c r="Q1182">
        <f t="shared" si="1266"/>
        <v>27106</v>
      </c>
      <c r="R1182" t="str">
        <f t="shared" ref="R1182:R1184" si="1279">IF(MONTH(E1176)&gt;=6, YEAR(E1176) &amp; "-" &amp; YEAR(E1176)+1, YEAR(E1176)-1 &amp; "-" &amp; YEAR(E1176))</f>
        <v>2022-2023</v>
      </c>
    </row>
    <row r="1183" spans="1:18" x14ac:dyDescent="0.25">
      <c r="A1183" t="s">
        <v>2768</v>
      </c>
      <c r="B1183" t="s">
        <v>2769</v>
      </c>
      <c r="C1183" t="s">
        <v>8</v>
      </c>
      <c r="D1183" t="s">
        <v>3</v>
      </c>
      <c r="E1183" s="1">
        <v>44871</v>
      </c>
      <c r="F1183" t="s">
        <v>5</v>
      </c>
      <c r="G1183">
        <v>5209</v>
      </c>
      <c r="H1183">
        <v>438</v>
      </c>
      <c r="I1183">
        <v>3.47</v>
      </c>
      <c r="J1183">
        <v>60</v>
      </c>
      <c r="K1183">
        <f t="shared" ca="1" si="1274"/>
        <v>1096</v>
      </c>
      <c r="M1183">
        <f t="shared" ca="1" si="1275"/>
        <v>1096</v>
      </c>
      <c r="N1183" t="str">
        <f t="shared" si="1276"/>
        <v>Good</v>
      </c>
      <c r="O1183" t="e">
        <f t="shared" si="1277"/>
        <v>#N/A</v>
      </c>
      <c r="P1183" t="str">
        <f t="shared" si="1278"/>
        <v>NO</v>
      </c>
      <c r="Q1183">
        <f t="shared" si="1266"/>
        <v>27106</v>
      </c>
      <c r="R1183" t="str">
        <f t="shared" si="1279"/>
        <v>2021-2022</v>
      </c>
    </row>
    <row r="1184" spans="1:18" x14ac:dyDescent="0.25">
      <c r="A1184" t="s">
        <v>2770</v>
      </c>
      <c r="B1184" t="s">
        <v>2771</v>
      </c>
      <c r="C1184" t="s">
        <v>8</v>
      </c>
      <c r="D1184" t="s">
        <v>65</v>
      </c>
      <c r="E1184" s="1">
        <v>45080</v>
      </c>
      <c r="F1184" t="s">
        <v>5</v>
      </c>
      <c r="G1184">
        <v>6599</v>
      </c>
      <c r="H1184">
        <v>5901</v>
      </c>
      <c r="I1184">
        <v>2.14</v>
      </c>
      <c r="J1184">
        <v>108</v>
      </c>
      <c r="K1184">
        <f t="shared" ca="1" si="1274"/>
        <v>887</v>
      </c>
      <c r="M1184">
        <f t="shared" ca="1" si="1275"/>
        <v>887</v>
      </c>
      <c r="N1184" t="str">
        <f t="shared" si="1276"/>
        <v>Good</v>
      </c>
      <c r="O1184" t="e">
        <f t="shared" si="1277"/>
        <v>#N/A</v>
      </c>
      <c r="P1184" t="str">
        <f t="shared" si="1278"/>
        <v>YES</v>
      </c>
      <c r="Q1184">
        <f t="shared" si="1266"/>
        <v>27106</v>
      </c>
      <c r="R1184" t="str">
        <f t="shared" si="1279"/>
        <v>2023-2024</v>
      </c>
    </row>
    <row r="1185" spans="1:18" hidden="1" x14ac:dyDescent="0.25">
      <c r="A1185" t="s">
        <v>2772</v>
      </c>
      <c r="B1185" t="s">
        <v>2773</v>
      </c>
      <c r="C1185" t="s">
        <v>55</v>
      </c>
      <c r="D1185" t="s">
        <v>3</v>
      </c>
      <c r="E1185" t="s">
        <v>2774</v>
      </c>
      <c r="F1185" t="s">
        <v>11</v>
      </c>
      <c r="G1185">
        <v>4959</v>
      </c>
      <c r="H1185">
        <v>7747</v>
      </c>
      <c r="I1185">
        <v>3.05</v>
      </c>
      <c r="J1185">
        <v>96</v>
      </c>
      <c r="Q1185">
        <f t="shared" si="1266"/>
        <v>27106</v>
      </c>
    </row>
    <row r="1186" spans="1:18" x14ac:dyDescent="0.25">
      <c r="A1186" t="s">
        <v>2775</v>
      </c>
      <c r="B1186" t="s">
        <v>2776</v>
      </c>
      <c r="C1186" t="s">
        <v>8</v>
      </c>
      <c r="D1186" t="s">
        <v>65</v>
      </c>
      <c r="E1186" s="1">
        <v>45387</v>
      </c>
      <c r="F1186" t="s">
        <v>5</v>
      </c>
      <c r="G1186">
        <v>8084</v>
      </c>
      <c r="H1186">
        <v>6788</v>
      </c>
      <c r="I1186">
        <v>3.26</v>
      </c>
      <c r="J1186">
        <v>115</v>
      </c>
      <c r="K1186">
        <f t="shared" ref="K1186" ca="1" si="1280">IF(F1186="Enrolled", TODAY()-E1186, "")</f>
        <v>580</v>
      </c>
      <c r="M1186">
        <f ca="1">IF(F1186="Enrolled",TODAY() - E1186,"")</f>
        <v>580</v>
      </c>
      <c r="N1186" t="str">
        <f>IF(I1188&gt;=3.5,"Excellent",IF(I1188&gt;=3,"Good",IF(I1188&gt;=2,"Average","Poor")))</f>
        <v>Good</v>
      </c>
      <c r="O1186" t="e">
        <f>VLOOKUP(D1186, $T$18:$U$23, 2, FALSE)</f>
        <v>#N/A</v>
      </c>
      <c r="P1186" t="str">
        <f>IF(H1186 &gt; 0.5 * G1186, "YES", "NO")</f>
        <v>YES</v>
      </c>
      <c r="Q1186">
        <f t="shared" si="1266"/>
        <v>27106</v>
      </c>
      <c r="R1186" t="str">
        <f t="shared" ref="R1186" si="1281">IF(MONTH(E1180)&gt;=6, YEAR(E1180) &amp; "-" &amp; YEAR(E1180)+1, YEAR(E1180)-1 &amp; "-" &amp; YEAR(E1180))</f>
        <v>2021-2022</v>
      </c>
    </row>
    <row r="1187" spans="1:18" hidden="1" x14ac:dyDescent="0.25">
      <c r="A1187" t="s">
        <v>2777</v>
      </c>
      <c r="B1187" t="s">
        <v>2778</v>
      </c>
      <c r="C1187" t="s">
        <v>2</v>
      </c>
      <c r="D1187" t="s">
        <v>3</v>
      </c>
      <c r="E1187" s="1">
        <v>44715</v>
      </c>
      <c r="F1187" t="s">
        <v>11</v>
      </c>
      <c r="G1187">
        <v>4306</v>
      </c>
      <c r="H1187">
        <v>3004</v>
      </c>
      <c r="I1187">
        <v>2</v>
      </c>
      <c r="J1187">
        <v>60</v>
      </c>
      <c r="Q1187">
        <f t="shared" si="1266"/>
        <v>27106</v>
      </c>
    </row>
    <row r="1188" spans="1:18" hidden="1" x14ac:dyDescent="0.25">
      <c r="A1188" t="s">
        <v>2779</v>
      </c>
      <c r="B1188" t="s">
        <v>2780</v>
      </c>
      <c r="C1188" t="s">
        <v>14</v>
      </c>
      <c r="D1188" t="s">
        <v>25</v>
      </c>
      <c r="E1188" t="s">
        <v>504</v>
      </c>
      <c r="F1188" t="s">
        <v>36</v>
      </c>
      <c r="G1188">
        <v>6691</v>
      </c>
      <c r="H1188">
        <v>7758</v>
      </c>
      <c r="I1188">
        <v>3.21</v>
      </c>
      <c r="J1188">
        <v>87</v>
      </c>
      <c r="Q1188">
        <f t="shared" si="1266"/>
        <v>27106</v>
      </c>
    </row>
    <row r="1189" spans="1:18" hidden="1" x14ac:dyDescent="0.25">
      <c r="A1189" t="s">
        <v>2781</v>
      </c>
      <c r="B1189" t="s">
        <v>2782</v>
      </c>
      <c r="C1189" t="s">
        <v>14</v>
      </c>
      <c r="D1189" t="s">
        <v>9</v>
      </c>
      <c r="E1189" s="1">
        <v>44958</v>
      </c>
      <c r="F1189" t="s">
        <v>11</v>
      </c>
      <c r="G1189">
        <v>7712</v>
      </c>
      <c r="H1189">
        <v>5785</v>
      </c>
      <c r="I1189">
        <v>3.48</v>
      </c>
      <c r="J1189">
        <v>115</v>
      </c>
      <c r="Q1189">
        <f t="shared" si="1266"/>
        <v>27106</v>
      </c>
    </row>
    <row r="1190" spans="1:18" hidden="1" x14ac:dyDescent="0.25">
      <c r="A1190" t="s">
        <v>2783</v>
      </c>
      <c r="B1190" t="s">
        <v>2784</v>
      </c>
      <c r="C1190" t="s">
        <v>21</v>
      </c>
      <c r="D1190" t="s">
        <v>9</v>
      </c>
      <c r="E1190" t="s">
        <v>1243</v>
      </c>
      <c r="F1190" t="s">
        <v>36</v>
      </c>
      <c r="G1190">
        <v>7597</v>
      </c>
      <c r="H1190">
        <v>9463</v>
      </c>
      <c r="I1190">
        <v>3.9</v>
      </c>
      <c r="J1190">
        <v>65</v>
      </c>
      <c r="Q1190">
        <f t="shared" si="1266"/>
        <v>19394</v>
      </c>
    </row>
    <row r="1191" spans="1:18" hidden="1" x14ac:dyDescent="0.25">
      <c r="A1191" t="s">
        <v>2785</v>
      </c>
      <c r="B1191" t="s">
        <v>2786</v>
      </c>
      <c r="C1191" t="s">
        <v>2</v>
      </c>
      <c r="D1191" t="s">
        <v>3</v>
      </c>
      <c r="E1191" t="s">
        <v>2787</v>
      </c>
      <c r="F1191" t="s">
        <v>11</v>
      </c>
      <c r="G1191">
        <v>9288</v>
      </c>
      <c r="H1191">
        <v>8158</v>
      </c>
      <c r="I1191">
        <v>3.65</v>
      </c>
      <c r="J1191">
        <v>55</v>
      </c>
      <c r="Q1191">
        <f t="shared" si="1266"/>
        <v>19394</v>
      </c>
    </row>
    <row r="1192" spans="1:18" x14ac:dyDescent="0.25">
      <c r="A1192" t="s">
        <v>2788</v>
      </c>
      <c r="B1192" t="s">
        <v>2789</v>
      </c>
      <c r="C1192" t="s">
        <v>55</v>
      </c>
      <c r="D1192" t="s">
        <v>65</v>
      </c>
      <c r="E1192" t="s">
        <v>1145</v>
      </c>
      <c r="F1192" t="s">
        <v>5</v>
      </c>
      <c r="G1192">
        <v>3940</v>
      </c>
      <c r="H1192">
        <v>4690</v>
      </c>
      <c r="I1192">
        <v>3.42</v>
      </c>
      <c r="J1192">
        <v>12</v>
      </c>
      <c r="K1192">
        <f t="shared" ref="K1192:K1193" ca="1" si="1282">IF(F1192="Enrolled", TODAY()-E1192, "")</f>
        <v>570</v>
      </c>
      <c r="M1192">
        <f t="shared" ref="M1192:M1193" ca="1" si="1283">IF(F1192="Enrolled",TODAY() - E1192,"")</f>
        <v>570</v>
      </c>
      <c r="N1192" t="str">
        <f t="shared" ref="N1192:N1193" si="1284">IF(I1194&gt;=3.5,"Excellent",IF(I1194&gt;=3,"Good",IF(I1194&gt;=2,"Average","Poor")))</f>
        <v>Average</v>
      </c>
      <c r="O1192" t="e">
        <f t="shared" ref="O1192:O1193" si="1285">VLOOKUP(D1192, $T$18:$U$23, 2, FALSE)</f>
        <v>#N/A</v>
      </c>
      <c r="P1192" t="str">
        <f t="shared" ref="P1192:P1193" si="1286">IF(H1192 &gt; 0.5 * G1192, "YES", "NO")</f>
        <v>YES</v>
      </c>
      <c r="Q1192">
        <f t="shared" si="1266"/>
        <v>19394</v>
      </c>
      <c r="R1192" t="str">
        <f t="shared" ref="R1192:R1193" si="1287">IF(MONTH(E1186)&gt;=6, YEAR(E1186) &amp; "-" &amp; YEAR(E1186)+1, YEAR(E1186)-1 &amp; "-" &amp; YEAR(E1186))</f>
        <v>2023-2024</v>
      </c>
    </row>
    <row r="1193" spans="1:18" x14ac:dyDescent="0.25">
      <c r="A1193" t="s">
        <v>2790</v>
      </c>
      <c r="B1193" t="s">
        <v>2791</v>
      </c>
      <c r="C1193" t="s">
        <v>2</v>
      </c>
      <c r="D1193" t="s">
        <v>25</v>
      </c>
      <c r="E1193" t="s">
        <v>1779</v>
      </c>
      <c r="F1193" t="s">
        <v>5</v>
      </c>
      <c r="G1193">
        <v>10498</v>
      </c>
      <c r="H1193">
        <v>3841</v>
      </c>
      <c r="I1193">
        <v>3.76</v>
      </c>
      <c r="J1193">
        <v>94</v>
      </c>
      <c r="K1193">
        <f t="shared" ca="1" si="1282"/>
        <v>1018</v>
      </c>
      <c r="M1193">
        <f t="shared" ca="1" si="1283"/>
        <v>1018</v>
      </c>
      <c r="N1193" t="str">
        <f t="shared" si="1284"/>
        <v>Average</v>
      </c>
      <c r="O1193" t="e">
        <f t="shared" si="1285"/>
        <v>#N/A</v>
      </c>
      <c r="P1193" t="str">
        <f t="shared" si="1286"/>
        <v>NO</v>
      </c>
      <c r="Q1193">
        <f t="shared" si="1266"/>
        <v>19394</v>
      </c>
      <c r="R1193" t="str">
        <f t="shared" si="1287"/>
        <v>2022-2023</v>
      </c>
    </row>
    <row r="1194" spans="1:18" hidden="1" x14ac:dyDescent="0.25">
      <c r="A1194" t="s">
        <v>2792</v>
      </c>
      <c r="B1194" t="s">
        <v>2793</v>
      </c>
      <c r="C1194" t="s">
        <v>14</v>
      </c>
      <c r="D1194" t="s">
        <v>9</v>
      </c>
      <c r="E1194" t="s">
        <v>2306</v>
      </c>
      <c r="F1194" t="s">
        <v>11</v>
      </c>
      <c r="G1194">
        <v>9664</v>
      </c>
      <c r="H1194">
        <v>5928</v>
      </c>
      <c r="I1194">
        <v>2.8</v>
      </c>
      <c r="J1194">
        <v>52</v>
      </c>
      <c r="Q1194">
        <f t="shared" si="1266"/>
        <v>19394</v>
      </c>
    </row>
    <row r="1195" spans="1:18" hidden="1" x14ac:dyDescent="0.25">
      <c r="A1195" t="s">
        <v>2794</v>
      </c>
      <c r="B1195" t="s">
        <v>2795</v>
      </c>
      <c r="C1195" t="s">
        <v>58</v>
      </c>
      <c r="D1195" t="s">
        <v>25</v>
      </c>
      <c r="E1195" s="1">
        <v>45266</v>
      </c>
      <c r="F1195" t="s">
        <v>11</v>
      </c>
      <c r="G1195">
        <v>13106</v>
      </c>
      <c r="H1195">
        <v>6487</v>
      </c>
      <c r="I1195">
        <v>2.5299999999999998</v>
      </c>
      <c r="J1195">
        <v>61</v>
      </c>
      <c r="Q1195">
        <f t="shared" si="1266"/>
        <v>9730</v>
      </c>
    </row>
    <row r="1196" spans="1:18" hidden="1" x14ac:dyDescent="0.25">
      <c r="A1196" t="s">
        <v>2796</v>
      </c>
      <c r="B1196" t="s">
        <v>2797</v>
      </c>
      <c r="C1196" t="s">
        <v>55</v>
      </c>
      <c r="D1196" t="s">
        <v>9</v>
      </c>
      <c r="E1196" s="1">
        <v>45232</v>
      </c>
      <c r="F1196" t="s">
        <v>11</v>
      </c>
      <c r="G1196">
        <v>9730</v>
      </c>
      <c r="H1196">
        <v>4810</v>
      </c>
      <c r="I1196">
        <v>3.13</v>
      </c>
      <c r="J1196">
        <v>73</v>
      </c>
      <c r="Q1196">
        <f t="shared" si="1266"/>
        <v>9730</v>
      </c>
    </row>
    <row r="1197" spans="1:18" x14ac:dyDescent="0.25">
      <c r="A1197" t="s">
        <v>2798</v>
      </c>
      <c r="B1197" t="s">
        <v>2799</v>
      </c>
      <c r="C1197" t="s">
        <v>32</v>
      </c>
      <c r="D1197" t="s">
        <v>9</v>
      </c>
      <c r="E1197" s="1">
        <v>45270</v>
      </c>
      <c r="F1197" t="s">
        <v>5</v>
      </c>
      <c r="G1197">
        <v>8764</v>
      </c>
      <c r="H1197">
        <v>6811</v>
      </c>
      <c r="I1197">
        <v>3.72</v>
      </c>
      <c r="J1197">
        <v>100</v>
      </c>
      <c r="K1197">
        <f t="shared" ref="K1197" ca="1" si="1288">IF(F1197="Enrolled", TODAY()-E1197, "")</f>
        <v>697</v>
      </c>
      <c r="M1197">
        <f ca="1">IF(F1197="Enrolled",TODAY() - E1197,"")</f>
        <v>697</v>
      </c>
      <c r="N1197" t="str">
        <f>IF(I1199&gt;=3.5,"Excellent",IF(I1199&gt;=3,"Good",IF(I1199&gt;=2,"Average","Poor")))</f>
        <v>Average</v>
      </c>
      <c r="O1197" t="e">
        <f>VLOOKUP(D1197, $T$18:$U$23, 2, FALSE)</f>
        <v>#N/A</v>
      </c>
      <c r="P1197" t="str">
        <f>IF(H1197 &gt; 0.5 * G1197, "YES", "NO")</f>
        <v>YES</v>
      </c>
      <c r="Q1197">
        <f t="shared" si="1266"/>
        <v>0</v>
      </c>
      <c r="R1197" t="str">
        <f t="shared" ref="R1197" si="1289">IF(MONTH(E1191)&gt;=6, YEAR(E1191) &amp; "-" &amp; YEAR(E1191)+1, YEAR(E1191)-1 &amp; "-" &amp; YEAR(E1191))</f>
        <v>2023-2024</v>
      </c>
    </row>
    <row r="1198" spans="1:18" hidden="1" x14ac:dyDescent="0.25">
      <c r="A1198" t="s">
        <v>2800</v>
      </c>
      <c r="B1198" t="s">
        <v>2801</v>
      </c>
      <c r="C1198" t="s">
        <v>17</v>
      </c>
      <c r="D1198" t="s">
        <v>9</v>
      </c>
      <c r="E1198" t="s">
        <v>1184</v>
      </c>
      <c r="F1198" t="s">
        <v>36</v>
      </c>
      <c r="G1198">
        <v>11719</v>
      </c>
      <c r="H1198">
        <v>8671</v>
      </c>
      <c r="I1198">
        <v>2.4500000000000002</v>
      </c>
      <c r="J1198">
        <v>60</v>
      </c>
      <c r="Q1198">
        <f t="shared" si="1266"/>
        <v>0</v>
      </c>
    </row>
    <row r="1199" spans="1:18" x14ac:dyDescent="0.25">
      <c r="A1199" t="s">
        <v>2802</v>
      </c>
      <c r="B1199" t="s">
        <v>2803</v>
      </c>
      <c r="C1199" t="s">
        <v>2</v>
      </c>
      <c r="D1199" t="s">
        <v>9</v>
      </c>
      <c r="E1199" s="1">
        <v>44904</v>
      </c>
      <c r="F1199" t="s">
        <v>5</v>
      </c>
      <c r="G1199">
        <v>14745</v>
      </c>
      <c r="H1199">
        <v>5188</v>
      </c>
      <c r="I1199">
        <v>2.2999999999999998</v>
      </c>
      <c r="J1199">
        <v>106</v>
      </c>
      <c r="K1199">
        <f t="shared" ref="K1199:K1200" ca="1" si="1290">IF(F1199="Enrolled", TODAY()-E1199, "")</f>
        <v>1063</v>
      </c>
      <c r="M1199">
        <f t="shared" ref="M1199:M1200" ca="1" si="1291">IF(F1199="Enrolled",TODAY() - E1199,"")</f>
        <v>1063</v>
      </c>
      <c r="N1199" t="str">
        <f t="shared" ref="N1199:N1200" si="1292">IF(I1201&gt;=3.5,"Excellent",IF(I1201&gt;=3,"Good",IF(I1201&gt;=2,"Average","Poor")))</f>
        <v>Average</v>
      </c>
      <c r="O1199" t="e">
        <f t="shared" ref="O1199:O1200" si="1293">VLOOKUP(D1199, $T$18:$U$23, 2, FALSE)</f>
        <v>#N/A</v>
      </c>
      <c r="P1199" t="str">
        <f t="shared" ref="P1199:P1200" si="1294">IF(H1199 &gt; 0.5 * G1199, "YES", "NO")</f>
        <v>NO</v>
      </c>
      <c r="Q1199">
        <f t="shared" si="1266"/>
        <v>0</v>
      </c>
      <c r="R1199" t="str">
        <f t="shared" ref="R1199:R1200" si="1295">IF(MONTH(E1193)&gt;=6, YEAR(E1193) &amp; "-" &amp; YEAR(E1193)+1, YEAR(E1193)-1 &amp; "-" &amp; YEAR(E1193))</f>
        <v>2022-2023</v>
      </c>
    </row>
    <row r="1200" spans="1:18" x14ac:dyDescent="0.25">
      <c r="A1200" t="s">
        <v>2804</v>
      </c>
      <c r="B1200" t="s">
        <v>2805</v>
      </c>
      <c r="C1200" t="s">
        <v>2</v>
      </c>
      <c r="D1200" t="s">
        <v>9</v>
      </c>
      <c r="E1200" s="1">
        <v>45147</v>
      </c>
      <c r="F1200" t="s">
        <v>5</v>
      </c>
      <c r="G1200">
        <v>9290</v>
      </c>
      <c r="H1200">
        <v>2010</v>
      </c>
      <c r="I1200">
        <v>3.08</v>
      </c>
      <c r="J1200">
        <v>65</v>
      </c>
      <c r="K1200">
        <f t="shared" ca="1" si="1290"/>
        <v>820</v>
      </c>
      <c r="M1200">
        <f t="shared" ca="1" si="1291"/>
        <v>820</v>
      </c>
      <c r="N1200" t="str">
        <f t="shared" si="1292"/>
        <v>Poor</v>
      </c>
      <c r="O1200" t="e">
        <f t="shared" si="1293"/>
        <v>#N/A</v>
      </c>
      <c r="P1200" t="str">
        <f t="shared" si="1294"/>
        <v>NO</v>
      </c>
      <c r="Q1200">
        <f t="shared" si="1266"/>
        <v>0</v>
      </c>
      <c r="R1200" t="str">
        <f t="shared" si="1295"/>
        <v>2023-2024</v>
      </c>
    </row>
    <row r="1201" spans="1:17" hidden="1" x14ac:dyDescent="0.25">
      <c r="A1201" t="s">
        <v>2806</v>
      </c>
      <c r="B1201" t="s">
        <v>2807</v>
      </c>
      <c r="C1201" t="s">
        <v>17</v>
      </c>
      <c r="D1201" t="s">
        <v>65</v>
      </c>
      <c r="E1201" t="s">
        <v>2136</v>
      </c>
      <c r="F1201" t="s">
        <v>11</v>
      </c>
      <c r="G1201">
        <v>2623</v>
      </c>
      <c r="H1201">
        <v>5298</v>
      </c>
      <c r="I1201">
        <v>2.14</v>
      </c>
      <c r="J1201">
        <v>119</v>
      </c>
      <c r="Q1201">
        <f t="shared" si="1266"/>
        <v>0</v>
      </c>
    </row>
    <row r="1202" spans="1:17" x14ac:dyDescent="0.25">
      <c r="M1202" t="str">
        <f t="shared" ref="M1202:M1265" ca="1" si="1296">IF(F1202="Enrolled",TODAY() - E1202,"")</f>
        <v/>
      </c>
    </row>
    <row r="1203" spans="1:17" x14ac:dyDescent="0.25">
      <c r="M1203" t="str">
        <f t="shared" ca="1" si="1296"/>
        <v/>
      </c>
    </row>
    <row r="1204" spans="1:17" x14ac:dyDescent="0.25">
      <c r="M1204" t="str">
        <f t="shared" ca="1" si="1296"/>
        <v/>
      </c>
    </row>
    <row r="1205" spans="1:17" x14ac:dyDescent="0.25">
      <c r="M1205" t="str">
        <f t="shared" ca="1" si="1296"/>
        <v/>
      </c>
    </row>
    <row r="1206" spans="1:17" x14ac:dyDescent="0.25">
      <c r="M1206" t="str">
        <f t="shared" ca="1" si="1296"/>
        <v/>
      </c>
    </row>
    <row r="1207" spans="1:17" x14ac:dyDescent="0.25">
      <c r="M1207" t="str">
        <f t="shared" ca="1" si="1296"/>
        <v/>
      </c>
    </row>
    <row r="1208" spans="1:17" x14ac:dyDescent="0.25">
      <c r="M1208" t="str">
        <f t="shared" ca="1" si="1296"/>
        <v/>
      </c>
    </row>
    <row r="1209" spans="1:17" x14ac:dyDescent="0.25">
      <c r="M1209" t="str">
        <f t="shared" ca="1" si="1296"/>
        <v/>
      </c>
    </row>
    <row r="1210" spans="1:17" x14ac:dyDescent="0.25">
      <c r="M1210" t="str">
        <f t="shared" ca="1" si="1296"/>
        <v/>
      </c>
    </row>
    <row r="1211" spans="1:17" x14ac:dyDescent="0.25">
      <c r="M1211" t="str">
        <f t="shared" ca="1" si="1296"/>
        <v/>
      </c>
    </row>
    <row r="1212" spans="1:17" x14ac:dyDescent="0.25">
      <c r="M1212" t="str">
        <f t="shared" ca="1" si="1296"/>
        <v/>
      </c>
    </row>
    <row r="1213" spans="1:17" x14ac:dyDescent="0.25">
      <c r="M1213" t="str">
        <f t="shared" ca="1" si="1296"/>
        <v/>
      </c>
    </row>
    <row r="1214" spans="1:17" x14ac:dyDescent="0.25">
      <c r="M1214" t="str">
        <f t="shared" ca="1" si="1296"/>
        <v/>
      </c>
    </row>
    <row r="1215" spans="1:17" x14ac:dyDescent="0.25">
      <c r="M1215" t="str">
        <f t="shared" ca="1" si="1296"/>
        <v/>
      </c>
    </row>
    <row r="1216" spans="1:17" x14ac:dyDescent="0.25">
      <c r="M1216" t="str">
        <f t="shared" ca="1" si="1296"/>
        <v/>
      </c>
    </row>
    <row r="1217" spans="13:13" x14ac:dyDescent="0.25">
      <c r="M1217" t="str">
        <f t="shared" ca="1" si="1296"/>
        <v/>
      </c>
    </row>
    <row r="1218" spans="13:13" x14ac:dyDescent="0.25">
      <c r="M1218" t="str">
        <f t="shared" ca="1" si="1296"/>
        <v/>
      </c>
    </row>
    <row r="1219" spans="13:13" x14ac:dyDescent="0.25">
      <c r="M1219" t="str">
        <f t="shared" ca="1" si="1296"/>
        <v/>
      </c>
    </row>
    <row r="1220" spans="13:13" x14ac:dyDescent="0.25">
      <c r="M1220" t="str">
        <f t="shared" ca="1" si="1296"/>
        <v/>
      </c>
    </row>
    <row r="1221" spans="13:13" x14ac:dyDescent="0.25">
      <c r="M1221" t="str">
        <f t="shared" ca="1" si="1296"/>
        <v/>
      </c>
    </row>
    <row r="1222" spans="13:13" x14ac:dyDescent="0.25">
      <c r="M1222" t="str">
        <f t="shared" ca="1" si="1296"/>
        <v/>
      </c>
    </row>
    <row r="1223" spans="13:13" x14ac:dyDescent="0.25">
      <c r="M1223" t="str">
        <f t="shared" ca="1" si="1296"/>
        <v/>
      </c>
    </row>
    <row r="1224" spans="13:13" x14ac:dyDescent="0.25">
      <c r="M1224" t="str">
        <f t="shared" ca="1" si="1296"/>
        <v/>
      </c>
    </row>
    <row r="1225" spans="13:13" x14ac:dyDescent="0.25">
      <c r="M1225" t="str">
        <f t="shared" ca="1" si="1296"/>
        <v/>
      </c>
    </row>
    <row r="1226" spans="13:13" x14ac:dyDescent="0.25">
      <c r="M1226" t="str">
        <f t="shared" ca="1" si="1296"/>
        <v/>
      </c>
    </row>
    <row r="1227" spans="13:13" x14ac:dyDescent="0.25">
      <c r="M1227" t="str">
        <f t="shared" ca="1" si="1296"/>
        <v/>
      </c>
    </row>
    <row r="1228" spans="13:13" x14ac:dyDescent="0.25">
      <c r="M1228" t="str">
        <f t="shared" ca="1" si="1296"/>
        <v/>
      </c>
    </row>
    <row r="1229" spans="13:13" x14ac:dyDescent="0.25">
      <c r="M1229" t="str">
        <f t="shared" ca="1" si="1296"/>
        <v/>
      </c>
    </row>
    <row r="1230" spans="13:13" x14ac:dyDescent="0.25">
      <c r="M1230" t="str">
        <f t="shared" ca="1" si="1296"/>
        <v/>
      </c>
    </row>
    <row r="1231" spans="13:13" x14ac:dyDescent="0.25">
      <c r="M1231" t="str">
        <f t="shared" ca="1" si="1296"/>
        <v/>
      </c>
    </row>
    <row r="1232" spans="13:13" x14ac:dyDescent="0.25">
      <c r="M1232" t="str">
        <f t="shared" ca="1" si="1296"/>
        <v/>
      </c>
    </row>
    <row r="1233" spans="13:13" x14ac:dyDescent="0.25">
      <c r="M1233" t="str">
        <f t="shared" ca="1" si="1296"/>
        <v/>
      </c>
    </row>
    <row r="1234" spans="13:13" x14ac:dyDescent="0.25">
      <c r="M1234" t="str">
        <f t="shared" ca="1" si="1296"/>
        <v/>
      </c>
    </row>
    <row r="1235" spans="13:13" x14ac:dyDescent="0.25">
      <c r="M1235" t="str">
        <f t="shared" ca="1" si="1296"/>
        <v/>
      </c>
    </row>
    <row r="1236" spans="13:13" x14ac:dyDescent="0.25">
      <c r="M1236" t="str">
        <f t="shared" ca="1" si="1296"/>
        <v/>
      </c>
    </row>
    <row r="1237" spans="13:13" x14ac:dyDescent="0.25">
      <c r="M1237" t="str">
        <f t="shared" ca="1" si="1296"/>
        <v/>
      </c>
    </row>
    <row r="1238" spans="13:13" x14ac:dyDescent="0.25">
      <c r="M1238" t="str">
        <f t="shared" ca="1" si="1296"/>
        <v/>
      </c>
    </row>
    <row r="1239" spans="13:13" x14ac:dyDescent="0.25">
      <c r="M1239" t="str">
        <f t="shared" ca="1" si="1296"/>
        <v/>
      </c>
    </row>
    <row r="1240" spans="13:13" x14ac:dyDescent="0.25">
      <c r="M1240" t="str">
        <f t="shared" ca="1" si="1296"/>
        <v/>
      </c>
    </row>
    <row r="1241" spans="13:13" x14ac:dyDescent="0.25">
      <c r="M1241" t="str">
        <f t="shared" ca="1" si="1296"/>
        <v/>
      </c>
    </row>
    <row r="1242" spans="13:13" x14ac:dyDescent="0.25">
      <c r="M1242" t="str">
        <f t="shared" ca="1" si="1296"/>
        <v/>
      </c>
    </row>
    <row r="1243" spans="13:13" x14ac:dyDescent="0.25">
      <c r="M1243" t="str">
        <f t="shared" ca="1" si="1296"/>
        <v/>
      </c>
    </row>
    <row r="1244" spans="13:13" x14ac:dyDescent="0.25">
      <c r="M1244" t="str">
        <f t="shared" ca="1" si="1296"/>
        <v/>
      </c>
    </row>
    <row r="1245" spans="13:13" x14ac:dyDescent="0.25">
      <c r="M1245" t="str">
        <f t="shared" ca="1" si="1296"/>
        <v/>
      </c>
    </row>
    <row r="1246" spans="13:13" x14ac:dyDescent="0.25">
      <c r="M1246" t="str">
        <f t="shared" ca="1" si="1296"/>
        <v/>
      </c>
    </row>
    <row r="1247" spans="13:13" x14ac:dyDescent="0.25">
      <c r="M1247" t="str">
        <f t="shared" ca="1" si="1296"/>
        <v/>
      </c>
    </row>
    <row r="1248" spans="13:13" x14ac:dyDescent="0.25">
      <c r="M1248" t="str">
        <f t="shared" ca="1" si="1296"/>
        <v/>
      </c>
    </row>
    <row r="1249" spans="13:13" x14ac:dyDescent="0.25">
      <c r="M1249" t="str">
        <f t="shared" ca="1" si="1296"/>
        <v/>
      </c>
    </row>
    <row r="1250" spans="13:13" x14ac:dyDescent="0.25">
      <c r="M1250" t="str">
        <f t="shared" ca="1" si="1296"/>
        <v/>
      </c>
    </row>
    <row r="1251" spans="13:13" x14ac:dyDescent="0.25">
      <c r="M1251" t="str">
        <f t="shared" ca="1" si="1296"/>
        <v/>
      </c>
    </row>
    <row r="1252" spans="13:13" x14ac:dyDescent="0.25">
      <c r="M1252" t="str">
        <f t="shared" ca="1" si="1296"/>
        <v/>
      </c>
    </row>
    <row r="1253" spans="13:13" x14ac:dyDescent="0.25">
      <c r="M1253" t="str">
        <f t="shared" ca="1" si="1296"/>
        <v/>
      </c>
    </row>
    <row r="1254" spans="13:13" x14ac:dyDescent="0.25">
      <c r="M1254" t="str">
        <f t="shared" ca="1" si="1296"/>
        <v/>
      </c>
    </row>
    <row r="1255" spans="13:13" x14ac:dyDescent="0.25">
      <c r="M1255" t="str">
        <f t="shared" ca="1" si="1296"/>
        <v/>
      </c>
    </row>
    <row r="1256" spans="13:13" x14ac:dyDescent="0.25">
      <c r="M1256" t="str">
        <f t="shared" ca="1" si="1296"/>
        <v/>
      </c>
    </row>
    <row r="1257" spans="13:13" x14ac:dyDescent="0.25">
      <c r="M1257" t="str">
        <f t="shared" ca="1" si="1296"/>
        <v/>
      </c>
    </row>
    <row r="1258" spans="13:13" x14ac:dyDescent="0.25">
      <c r="M1258" t="str">
        <f t="shared" ca="1" si="1296"/>
        <v/>
      </c>
    </row>
    <row r="1259" spans="13:13" x14ac:dyDescent="0.25">
      <c r="M1259" t="str">
        <f t="shared" ca="1" si="1296"/>
        <v/>
      </c>
    </row>
    <row r="1260" spans="13:13" x14ac:dyDescent="0.25">
      <c r="M1260" t="str">
        <f t="shared" ca="1" si="1296"/>
        <v/>
      </c>
    </row>
    <row r="1261" spans="13:13" x14ac:dyDescent="0.25">
      <c r="M1261" t="str">
        <f t="shared" ca="1" si="1296"/>
        <v/>
      </c>
    </row>
    <row r="1262" spans="13:13" x14ac:dyDescent="0.25">
      <c r="M1262" t="str">
        <f t="shared" ca="1" si="1296"/>
        <v/>
      </c>
    </row>
    <row r="1263" spans="13:13" x14ac:dyDescent="0.25">
      <c r="M1263" t="str">
        <f t="shared" ca="1" si="1296"/>
        <v/>
      </c>
    </row>
    <row r="1264" spans="13:13" x14ac:dyDescent="0.25">
      <c r="M1264" t="str">
        <f t="shared" ca="1" si="1296"/>
        <v/>
      </c>
    </row>
    <row r="1265" spans="13:13" x14ac:dyDescent="0.25">
      <c r="M1265" t="str">
        <f t="shared" ca="1" si="1296"/>
        <v/>
      </c>
    </row>
    <row r="1266" spans="13:13" x14ac:dyDescent="0.25">
      <c r="M1266" t="str">
        <f t="shared" ref="M1266:M1329" ca="1" si="1297">IF(F1266="Enrolled",TODAY() - E1266,"")</f>
        <v/>
      </c>
    </row>
    <row r="1267" spans="13:13" x14ac:dyDescent="0.25">
      <c r="M1267" t="str">
        <f t="shared" ca="1" si="1297"/>
        <v/>
      </c>
    </row>
    <row r="1268" spans="13:13" x14ac:dyDescent="0.25">
      <c r="M1268" t="str">
        <f t="shared" ca="1" si="1297"/>
        <v/>
      </c>
    </row>
    <row r="1269" spans="13:13" x14ac:dyDescent="0.25">
      <c r="M1269" t="str">
        <f t="shared" ca="1" si="1297"/>
        <v/>
      </c>
    </row>
    <row r="1270" spans="13:13" x14ac:dyDescent="0.25">
      <c r="M1270" t="str">
        <f t="shared" ca="1" si="1297"/>
        <v/>
      </c>
    </row>
    <row r="1271" spans="13:13" x14ac:dyDescent="0.25">
      <c r="M1271" t="str">
        <f t="shared" ca="1" si="1297"/>
        <v/>
      </c>
    </row>
    <row r="1272" spans="13:13" x14ac:dyDescent="0.25">
      <c r="M1272" t="str">
        <f t="shared" ca="1" si="1297"/>
        <v/>
      </c>
    </row>
    <row r="1273" spans="13:13" x14ac:dyDescent="0.25">
      <c r="M1273" t="str">
        <f t="shared" ca="1" si="1297"/>
        <v/>
      </c>
    </row>
    <row r="1274" spans="13:13" x14ac:dyDescent="0.25">
      <c r="M1274" t="str">
        <f t="shared" ca="1" si="1297"/>
        <v/>
      </c>
    </row>
    <row r="1275" spans="13:13" x14ac:dyDescent="0.25">
      <c r="M1275" t="str">
        <f t="shared" ca="1" si="1297"/>
        <v/>
      </c>
    </row>
    <row r="1276" spans="13:13" x14ac:dyDescent="0.25">
      <c r="M1276" t="str">
        <f t="shared" ca="1" si="1297"/>
        <v/>
      </c>
    </row>
    <row r="1277" spans="13:13" x14ac:dyDescent="0.25">
      <c r="M1277" t="str">
        <f t="shared" ca="1" si="1297"/>
        <v/>
      </c>
    </row>
    <row r="1278" spans="13:13" x14ac:dyDescent="0.25">
      <c r="M1278" t="str">
        <f t="shared" ca="1" si="1297"/>
        <v/>
      </c>
    </row>
    <row r="1279" spans="13:13" x14ac:dyDescent="0.25">
      <c r="M1279" t="str">
        <f t="shared" ca="1" si="1297"/>
        <v/>
      </c>
    </row>
    <row r="1280" spans="13:13" x14ac:dyDescent="0.25">
      <c r="M1280" t="str">
        <f t="shared" ca="1" si="1297"/>
        <v/>
      </c>
    </row>
    <row r="1281" spans="13:13" x14ac:dyDescent="0.25">
      <c r="M1281" t="str">
        <f t="shared" ca="1" si="1297"/>
        <v/>
      </c>
    </row>
    <row r="1282" spans="13:13" x14ac:dyDescent="0.25">
      <c r="M1282" t="str">
        <f t="shared" ca="1" si="1297"/>
        <v/>
      </c>
    </row>
    <row r="1283" spans="13:13" x14ac:dyDescent="0.25">
      <c r="M1283" t="str">
        <f t="shared" ca="1" si="1297"/>
        <v/>
      </c>
    </row>
    <row r="1284" spans="13:13" x14ac:dyDescent="0.25">
      <c r="M1284" t="str">
        <f t="shared" ca="1" si="1297"/>
        <v/>
      </c>
    </row>
    <row r="1285" spans="13:13" x14ac:dyDescent="0.25">
      <c r="M1285" t="str">
        <f t="shared" ca="1" si="1297"/>
        <v/>
      </c>
    </row>
    <row r="1286" spans="13:13" x14ac:dyDescent="0.25">
      <c r="M1286" t="str">
        <f t="shared" ca="1" si="1297"/>
        <v/>
      </c>
    </row>
    <row r="1287" spans="13:13" x14ac:dyDescent="0.25">
      <c r="M1287" t="str">
        <f t="shared" ca="1" si="1297"/>
        <v/>
      </c>
    </row>
    <row r="1288" spans="13:13" x14ac:dyDescent="0.25">
      <c r="M1288" t="str">
        <f t="shared" ca="1" si="1297"/>
        <v/>
      </c>
    </row>
    <row r="1289" spans="13:13" x14ac:dyDescent="0.25">
      <c r="M1289" t="str">
        <f t="shared" ca="1" si="1297"/>
        <v/>
      </c>
    </row>
    <row r="1290" spans="13:13" x14ac:dyDescent="0.25">
      <c r="M1290" t="str">
        <f t="shared" ca="1" si="1297"/>
        <v/>
      </c>
    </row>
    <row r="1291" spans="13:13" x14ac:dyDescent="0.25">
      <c r="M1291" t="str">
        <f t="shared" ca="1" si="1297"/>
        <v/>
      </c>
    </row>
    <row r="1292" spans="13:13" x14ac:dyDescent="0.25">
      <c r="M1292" t="str">
        <f t="shared" ca="1" si="1297"/>
        <v/>
      </c>
    </row>
    <row r="1293" spans="13:13" x14ac:dyDescent="0.25">
      <c r="M1293" t="str">
        <f t="shared" ca="1" si="1297"/>
        <v/>
      </c>
    </row>
    <row r="1294" spans="13:13" x14ac:dyDescent="0.25">
      <c r="M1294" t="str">
        <f t="shared" ca="1" si="1297"/>
        <v/>
      </c>
    </row>
    <row r="1295" spans="13:13" x14ac:dyDescent="0.25">
      <c r="M1295" t="str">
        <f t="shared" ca="1" si="1297"/>
        <v/>
      </c>
    </row>
    <row r="1296" spans="13:13" x14ac:dyDescent="0.25">
      <c r="M1296" t="str">
        <f t="shared" ca="1" si="1297"/>
        <v/>
      </c>
    </row>
    <row r="1297" spans="13:13" x14ac:dyDescent="0.25">
      <c r="M1297" t="str">
        <f t="shared" ca="1" si="1297"/>
        <v/>
      </c>
    </row>
    <row r="1298" spans="13:13" x14ac:dyDescent="0.25">
      <c r="M1298" t="str">
        <f t="shared" ca="1" si="1297"/>
        <v/>
      </c>
    </row>
    <row r="1299" spans="13:13" x14ac:dyDescent="0.25">
      <c r="M1299" t="str">
        <f t="shared" ca="1" si="1297"/>
        <v/>
      </c>
    </row>
    <row r="1300" spans="13:13" x14ac:dyDescent="0.25">
      <c r="M1300" t="str">
        <f t="shared" ca="1" si="1297"/>
        <v/>
      </c>
    </row>
    <row r="1301" spans="13:13" x14ac:dyDescent="0.25">
      <c r="M1301" t="str">
        <f t="shared" ca="1" si="1297"/>
        <v/>
      </c>
    </row>
    <row r="1302" spans="13:13" x14ac:dyDescent="0.25">
      <c r="M1302" t="str">
        <f t="shared" ca="1" si="1297"/>
        <v/>
      </c>
    </row>
    <row r="1303" spans="13:13" x14ac:dyDescent="0.25">
      <c r="M1303" t="str">
        <f t="shared" ca="1" si="1297"/>
        <v/>
      </c>
    </row>
    <row r="1304" spans="13:13" x14ac:dyDescent="0.25">
      <c r="M1304" t="str">
        <f t="shared" ca="1" si="1297"/>
        <v/>
      </c>
    </row>
    <row r="1305" spans="13:13" x14ac:dyDescent="0.25">
      <c r="M1305" t="str">
        <f t="shared" ca="1" si="1297"/>
        <v/>
      </c>
    </row>
    <row r="1306" spans="13:13" x14ac:dyDescent="0.25">
      <c r="M1306" t="str">
        <f t="shared" ca="1" si="1297"/>
        <v/>
      </c>
    </row>
    <row r="1307" spans="13:13" x14ac:dyDescent="0.25">
      <c r="M1307" t="str">
        <f t="shared" ca="1" si="1297"/>
        <v/>
      </c>
    </row>
    <row r="1308" spans="13:13" x14ac:dyDescent="0.25">
      <c r="M1308" t="str">
        <f t="shared" ca="1" si="1297"/>
        <v/>
      </c>
    </row>
    <row r="1309" spans="13:13" x14ac:dyDescent="0.25">
      <c r="M1309" t="str">
        <f t="shared" ca="1" si="1297"/>
        <v/>
      </c>
    </row>
    <row r="1310" spans="13:13" x14ac:dyDescent="0.25">
      <c r="M1310" t="str">
        <f t="shared" ca="1" si="1297"/>
        <v/>
      </c>
    </row>
    <row r="1311" spans="13:13" x14ac:dyDescent="0.25">
      <c r="M1311" t="str">
        <f t="shared" ca="1" si="1297"/>
        <v/>
      </c>
    </row>
    <row r="1312" spans="13:13" x14ac:dyDescent="0.25">
      <c r="M1312" t="str">
        <f t="shared" ca="1" si="1297"/>
        <v/>
      </c>
    </row>
    <row r="1313" spans="13:13" x14ac:dyDescent="0.25">
      <c r="M1313" t="str">
        <f t="shared" ca="1" si="1297"/>
        <v/>
      </c>
    </row>
    <row r="1314" spans="13:13" x14ac:dyDescent="0.25">
      <c r="M1314" t="str">
        <f t="shared" ca="1" si="1297"/>
        <v/>
      </c>
    </row>
    <row r="1315" spans="13:13" x14ac:dyDescent="0.25">
      <c r="M1315" t="str">
        <f t="shared" ca="1" si="1297"/>
        <v/>
      </c>
    </row>
    <row r="1316" spans="13:13" x14ac:dyDescent="0.25">
      <c r="M1316" t="str">
        <f t="shared" ca="1" si="1297"/>
        <v/>
      </c>
    </row>
    <row r="1317" spans="13:13" x14ac:dyDescent="0.25">
      <c r="M1317" t="str">
        <f t="shared" ca="1" si="1297"/>
        <v/>
      </c>
    </row>
    <row r="1318" spans="13:13" x14ac:dyDescent="0.25">
      <c r="M1318" t="str">
        <f t="shared" ca="1" si="1297"/>
        <v/>
      </c>
    </row>
    <row r="1319" spans="13:13" x14ac:dyDescent="0.25">
      <c r="M1319" t="str">
        <f t="shared" ca="1" si="1297"/>
        <v/>
      </c>
    </row>
    <row r="1320" spans="13:13" x14ac:dyDescent="0.25">
      <c r="M1320" t="str">
        <f t="shared" ca="1" si="1297"/>
        <v/>
      </c>
    </row>
    <row r="1321" spans="13:13" x14ac:dyDescent="0.25">
      <c r="M1321" t="str">
        <f t="shared" ca="1" si="1297"/>
        <v/>
      </c>
    </row>
    <row r="1322" spans="13:13" x14ac:dyDescent="0.25">
      <c r="M1322" t="str">
        <f t="shared" ca="1" si="1297"/>
        <v/>
      </c>
    </row>
    <row r="1323" spans="13:13" x14ac:dyDescent="0.25">
      <c r="M1323" t="str">
        <f t="shared" ca="1" si="1297"/>
        <v/>
      </c>
    </row>
    <row r="1324" spans="13:13" x14ac:dyDescent="0.25">
      <c r="M1324" t="str">
        <f t="shared" ca="1" si="1297"/>
        <v/>
      </c>
    </row>
    <row r="1325" spans="13:13" x14ac:dyDescent="0.25">
      <c r="M1325" t="str">
        <f t="shared" ca="1" si="1297"/>
        <v/>
      </c>
    </row>
    <row r="1326" spans="13:13" x14ac:dyDescent="0.25">
      <c r="M1326" t="str">
        <f t="shared" ca="1" si="1297"/>
        <v/>
      </c>
    </row>
    <row r="1327" spans="13:13" x14ac:dyDescent="0.25">
      <c r="M1327" t="str">
        <f t="shared" ca="1" si="1297"/>
        <v/>
      </c>
    </row>
    <row r="1328" spans="13:13" x14ac:dyDescent="0.25">
      <c r="M1328" t="str">
        <f t="shared" ca="1" si="1297"/>
        <v/>
      </c>
    </row>
    <row r="1329" spans="13:13" x14ac:dyDescent="0.25">
      <c r="M1329" t="str">
        <f t="shared" ca="1" si="1297"/>
        <v/>
      </c>
    </row>
    <row r="1330" spans="13:13" x14ac:dyDescent="0.25">
      <c r="M1330" t="str">
        <f t="shared" ref="M1330:M1393" ca="1" si="1298">IF(F1330="Enrolled",TODAY() - E1330,"")</f>
        <v/>
      </c>
    </row>
    <row r="1331" spans="13:13" x14ac:dyDescent="0.25">
      <c r="M1331" t="str">
        <f t="shared" ca="1" si="1298"/>
        <v/>
      </c>
    </row>
    <row r="1332" spans="13:13" x14ac:dyDescent="0.25">
      <c r="M1332" t="str">
        <f t="shared" ca="1" si="1298"/>
        <v/>
      </c>
    </row>
    <row r="1333" spans="13:13" x14ac:dyDescent="0.25">
      <c r="M1333" t="str">
        <f t="shared" ca="1" si="1298"/>
        <v/>
      </c>
    </row>
    <row r="1334" spans="13:13" x14ac:dyDescent="0.25">
      <c r="M1334" t="str">
        <f t="shared" ca="1" si="1298"/>
        <v/>
      </c>
    </row>
    <row r="1335" spans="13:13" x14ac:dyDescent="0.25">
      <c r="M1335" t="str">
        <f t="shared" ca="1" si="1298"/>
        <v/>
      </c>
    </row>
    <row r="1336" spans="13:13" x14ac:dyDescent="0.25">
      <c r="M1336" t="str">
        <f t="shared" ca="1" si="1298"/>
        <v/>
      </c>
    </row>
    <row r="1337" spans="13:13" x14ac:dyDescent="0.25">
      <c r="M1337" t="str">
        <f t="shared" ca="1" si="1298"/>
        <v/>
      </c>
    </row>
    <row r="1338" spans="13:13" x14ac:dyDescent="0.25">
      <c r="M1338" t="str">
        <f t="shared" ca="1" si="1298"/>
        <v/>
      </c>
    </row>
    <row r="1339" spans="13:13" x14ac:dyDescent="0.25">
      <c r="M1339" t="str">
        <f t="shared" ca="1" si="1298"/>
        <v/>
      </c>
    </row>
    <row r="1340" spans="13:13" x14ac:dyDescent="0.25">
      <c r="M1340" t="str">
        <f t="shared" ca="1" si="1298"/>
        <v/>
      </c>
    </row>
    <row r="1341" spans="13:13" x14ac:dyDescent="0.25">
      <c r="M1341" t="str">
        <f t="shared" ca="1" si="1298"/>
        <v/>
      </c>
    </row>
    <row r="1342" spans="13:13" x14ac:dyDescent="0.25">
      <c r="M1342" t="str">
        <f t="shared" ca="1" si="1298"/>
        <v/>
      </c>
    </row>
    <row r="1343" spans="13:13" x14ac:dyDescent="0.25">
      <c r="M1343" t="str">
        <f t="shared" ca="1" si="1298"/>
        <v/>
      </c>
    </row>
    <row r="1344" spans="13:13" x14ac:dyDescent="0.25">
      <c r="M1344" t="str">
        <f t="shared" ca="1" si="1298"/>
        <v/>
      </c>
    </row>
    <row r="1345" spans="13:13" x14ac:dyDescent="0.25">
      <c r="M1345" t="str">
        <f t="shared" ca="1" si="1298"/>
        <v/>
      </c>
    </row>
    <row r="1346" spans="13:13" x14ac:dyDescent="0.25">
      <c r="M1346" t="str">
        <f t="shared" ca="1" si="1298"/>
        <v/>
      </c>
    </row>
    <row r="1347" spans="13:13" x14ac:dyDescent="0.25">
      <c r="M1347" t="str">
        <f t="shared" ca="1" si="1298"/>
        <v/>
      </c>
    </row>
    <row r="1348" spans="13:13" x14ac:dyDescent="0.25">
      <c r="M1348" t="str">
        <f t="shared" ca="1" si="1298"/>
        <v/>
      </c>
    </row>
    <row r="1349" spans="13:13" x14ac:dyDescent="0.25">
      <c r="M1349" t="str">
        <f t="shared" ca="1" si="1298"/>
        <v/>
      </c>
    </row>
    <row r="1350" spans="13:13" x14ac:dyDescent="0.25">
      <c r="M1350" t="str">
        <f t="shared" ca="1" si="1298"/>
        <v/>
      </c>
    </row>
    <row r="1351" spans="13:13" x14ac:dyDescent="0.25">
      <c r="M1351" t="str">
        <f t="shared" ca="1" si="1298"/>
        <v/>
      </c>
    </row>
    <row r="1352" spans="13:13" x14ac:dyDescent="0.25">
      <c r="M1352" t="str">
        <f t="shared" ca="1" si="1298"/>
        <v/>
      </c>
    </row>
    <row r="1353" spans="13:13" x14ac:dyDescent="0.25">
      <c r="M1353" t="str">
        <f t="shared" ca="1" si="1298"/>
        <v/>
      </c>
    </row>
    <row r="1354" spans="13:13" x14ac:dyDescent="0.25">
      <c r="M1354" t="str">
        <f t="shared" ca="1" si="1298"/>
        <v/>
      </c>
    </row>
    <row r="1355" spans="13:13" x14ac:dyDescent="0.25">
      <c r="M1355" t="str">
        <f t="shared" ca="1" si="1298"/>
        <v/>
      </c>
    </row>
    <row r="1356" spans="13:13" x14ac:dyDescent="0.25">
      <c r="M1356" t="str">
        <f t="shared" ca="1" si="1298"/>
        <v/>
      </c>
    </row>
    <row r="1357" spans="13:13" x14ac:dyDescent="0.25">
      <c r="M1357" t="str">
        <f t="shared" ca="1" si="1298"/>
        <v/>
      </c>
    </row>
    <row r="1358" spans="13:13" x14ac:dyDescent="0.25">
      <c r="M1358" t="str">
        <f t="shared" ca="1" si="1298"/>
        <v/>
      </c>
    </row>
    <row r="1359" spans="13:13" x14ac:dyDescent="0.25">
      <c r="M1359" t="str">
        <f t="shared" ca="1" si="1298"/>
        <v/>
      </c>
    </row>
    <row r="1360" spans="13:13" x14ac:dyDescent="0.25">
      <c r="M1360" t="str">
        <f t="shared" ca="1" si="1298"/>
        <v/>
      </c>
    </row>
    <row r="1361" spans="13:13" x14ac:dyDescent="0.25">
      <c r="M1361" t="str">
        <f t="shared" ca="1" si="1298"/>
        <v/>
      </c>
    </row>
    <row r="1362" spans="13:13" x14ac:dyDescent="0.25">
      <c r="M1362" t="str">
        <f t="shared" ca="1" si="1298"/>
        <v/>
      </c>
    </row>
    <row r="1363" spans="13:13" x14ac:dyDescent="0.25">
      <c r="M1363" t="str">
        <f t="shared" ca="1" si="1298"/>
        <v/>
      </c>
    </row>
    <row r="1364" spans="13:13" x14ac:dyDescent="0.25">
      <c r="M1364" t="str">
        <f t="shared" ca="1" si="1298"/>
        <v/>
      </c>
    </row>
    <row r="1365" spans="13:13" x14ac:dyDescent="0.25">
      <c r="M1365" t="str">
        <f t="shared" ca="1" si="1298"/>
        <v/>
      </c>
    </row>
    <row r="1366" spans="13:13" x14ac:dyDescent="0.25">
      <c r="M1366" t="str">
        <f t="shared" ca="1" si="1298"/>
        <v/>
      </c>
    </row>
    <row r="1367" spans="13:13" x14ac:dyDescent="0.25">
      <c r="M1367" t="str">
        <f t="shared" ca="1" si="1298"/>
        <v/>
      </c>
    </row>
    <row r="1368" spans="13:13" x14ac:dyDescent="0.25">
      <c r="M1368" t="str">
        <f t="shared" ca="1" si="1298"/>
        <v/>
      </c>
    </row>
    <row r="1369" spans="13:13" x14ac:dyDescent="0.25">
      <c r="M1369" t="str">
        <f t="shared" ca="1" si="1298"/>
        <v/>
      </c>
    </row>
    <row r="1370" spans="13:13" x14ac:dyDescent="0.25">
      <c r="M1370" t="str">
        <f t="shared" ca="1" si="1298"/>
        <v/>
      </c>
    </row>
    <row r="1371" spans="13:13" x14ac:dyDescent="0.25">
      <c r="M1371" t="str">
        <f t="shared" ca="1" si="1298"/>
        <v/>
      </c>
    </row>
    <row r="1372" spans="13:13" x14ac:dyDescent="0.25">
      <c r="M1372" t="str">
        <f t="shared" ca="1" si="1298"/>
        <v/>
      </c>
    </row>
    <row r="1373" spans="13:13" x14ac:dyDescent="0.25">
      <c r="M1373" t="str">
        <f t="shared" ca="1" si="1298"/>
        <v/>
      </c>
    </row>
    <row r="1374" spans="13:13" x14ac:dyDescent="0.25">
      <c r="M1374" t="str">
        <f t="shared" ca="1" si="1298"/>
        <v/>
      </c>
    </row>
    <row r="1375" spans="13:13" x14ac:dyDescent="0.25">
      <c r="M1375" t="str">
        <f t="shared" ca="1" si="1298"/>
        <v/>
      </c>
    </row>
    <row r="1376" spans="13:13" x14ac:dyDescent="0.25">
      <c r="M1376" t="str">
        <f t="shared" ca="1" si="1298"/>
        <v/>
      </c>
    </row>
    <row r="1377" spans="13:13" x14ac:dyDescent="0.25">
      <c r="M1377" t="str">
        <f t="shared" ca="1" si="1298"/>
        <v/>
      </c>
    </row>
    <row r="1378" spans="13:13" x14ac:dyDescent="0.25">
      <c r="M1378" t="str">
        <f t="shared" ca="1" si="1298"/>
        <v/>
      </c>
    </row>
    <row r="1379" spans="13:13" x14ac:dyDescent="0.25">
      <c r="M1379" t="str">
        <f t="shared" ca="1" si="1298"/>
        <v/>
      </c>
    </row>
    <row r="1380" spans="13:13" x14ac:dyDescent="0.25">
      <c r="M1380" t="str">
        <f t="shared" ca="1" si="1298"/>
        <v/>
      </c>
    </row>
    <row r="1381" spans="13:13" x14ac:dyDescent="0.25">
      <c r="M1381" t="str">
        <f t="shared" ca="1" si="1298"/>
        <v/>
      </c>
    </row>
    <row r="1382" spans="13:13" x14ac:dyDescent="0.25">
      <c r="M1382" t="str">
        <f t="shared" ca="1" si="1298"/>
        <v/>
      </c>
    </row>
    <row r="1383" spans="13:13" x14ac:dyDescent="0.25">
      <c r="M1383" t="str">
        <f t="shared" ca="1" si="1298"/>
        <v/>
      </c>
    </row>
    <row r="1384" spans="13:13" x14ac:dyDescent="0.25">
      <c r="M1384" t="str">
        <f t="shared" ca="1" si="1298"/>
        <v/>
      </c>
    </row>
    <row r="1385" spans="13:13" x14ac:dyDescent="0.25">
      <c r="M1385" t="str">
        <f t="shared" ca="1" si="1298"/>
        <v/>
      </c>
    </row>
    <row r="1386" spans="13:13" x14ac:dyDescent="0.25">
      <c r="M1386" t="str">
        <f t="shared" ca="1" si="1298"/>
        <v/>
      </c>
    </row>
    <row r="1387" spans="13:13" x14ac:dyDescent="0.25">
      <c r="M1387" t="str">
        <f t="shared" ca="1" si="1298"/>
        <v/>
      </c>
    </row>
    <row r="1388" spans="13:13" x14ac:dyDescent="0.25">
      <c r="M1388" t="str">
        <f t="shared" ca="1" si="1298"/>
        <v/>
      </c>
    </row>
    <row r="1389" spans="13:13" x14ac:dyDescent="0.25">
      <c r="M1389" t="str">
        <f t="shared" ca="1" si="1298"/>
        <v/>
      </c>
    </row>
    <row r="1390" spans="13:13" x14ac:dyDescent="0.25">
      <c r="M1390" t="str">
        <f t="shared" ca="1" si="1298"/>
        <v/>
      </c>
    </row>
    <row r="1391" spans="13:13" x14ac:dyDescent="0.25">
      <c r="M1391" t="str">
        <f t="shared" ca="1" si="1298"/>
        <v/>
      </c>
    </row>
    <row r="1392" spans="13:13" x14ac:dyDescent="0.25">
      <c r="M1392" t="str">
        <f t="shared" ca="1" si="1298"/>
        <v/>
      </c>
    </row>
    <row r="1393" spans="13:13" x14ac:dyDescent="0.25">
      <c r="M1393" t="str">
        <f t="shared" ca="1" si="1298"/>
        <v/>
      </c>
    </row>
    <row r="1394" spans="13:13" x14ac:dyDescent="0.25">
      <c r="M1394" t="str">
        <f t="shared" ref="M1394:M1457" ca="1" si="1299">IF(F1394="Enrolled",TODAY() - E1394,"")</f>
        <v/>
      </c>
    </row>
    <row r="1395" spans="13:13" x14ac:dyDescent="0.25">
      <c r="M1395" t="str">
        <f t="shared" ca="1" si="1299"/>
        <v/>
      </c>
    </row>
    <row r="1396" spans="13:13" x14ac:dyDescent="0.25">
      <c r="M1396" t="str">
        <f t="shared" ca="1" si="1299"/>
        <v/>
      </c>
    </row>
    <row r="1397" spans="13:13" x14ac:dyDescent="0.25">
      <c r="M1397" t="str">
        <f t="shared" ca="1" si="1299"/>
        <v/>
      </c>
    </row>
    <row r="1398" spans="13:13" x14ac:dyDescent="0.25">
      <c r="M1398" t="str">
        <f t="shared" ca="1" si="1299"/>
        <v/>
      </c>
    </row>
    <row r="1399" spans="13:13" x14ac:dyDescent="0.25">
      <c r="M1399" t="str">
        <f t="shared" ca="1" si="1299"/>
        <v/>
      </c>
    </row>
    <row r="1400" spans="13:13" x14ac:dyDescent="0.25">
      <c r="M1400" t="str">
        <f t="shared" ca="1" si="1299"/>
        <v/>
      </c>
    </row>
    <row r="1401" spans="13:13" x14ac:dyDescent="0.25">
      <c r="M1401" t="str">
        <f t="shared" ca="1" si="1299"/>
        <v/>
      </c>
    </row>
    <row r="1402" spans="13:13" x14ac:dyDescent="0.25">
      <c r="M1402" t="str">
        <f t="shared" ca="1" si="1299"/>
        <v/>
      </c>
    </row>
    <row r="1403" spans="13:13" x14ac:dyDescent="0.25">
      <c r="M1403" t="str">
        <f t="shared" ca="1" si="1299"/>
        <v/>
      </c>
    </row>
    <row r="1404" spans="13:13" x14ac:dyDescent="0.25">
      <c r="M1404" t="str">
        <f t="shared" ca="1" si="1299"/>
        <v/>
      </c>
    </row>
    <row r="1405" spans="13:13" x14ac:dyDescent="0.25">
      <c r="M1405" t="str">
        <f t="shared" ca="1" si="1299"/>
        <v/>
      </c>
    </row>
    <row r="1406" spans="13:13" x14ac:dyDescent="0.25">
      <c r="M1406" t="str">
        <f t="shared" ca="1" si="1299"/>
        <v/>
      </c>
    </row>
    <row r="1407" spans="13:13" x14ac:dyDescent="0.25">
      <c r="M1407" t="str">
        <f t="shared" ca="1" si="1299"/>
        <v/>
      </c>
    </row>
    <row r="1408" spans="13:13" x14ac:dyDescent="0.25">
      <c r="M1408" t="str">
        <f t="shared" ca="1" si="1299"/>
        <v/>
      </c>
    </row>
    <row r="1409" spans="13:13" x14ac:dyDescent="0.25">
      <c r="M1409" t="str">
        <f t="shared" ca="1" si="1299"/>
        <v/>
      </c>
    </row>
    <row r="1410" spans="13:13" x14ac:dyDescent="0.25">
      <c r="M1410" t="str">
        <f t="shared" ca="1" si="1299"/>
        <v/>
      </c>
    </row>
    <row r="1411" spans="13:13" x14ac:dyDescent="0.25">
      <c r="M1411" t="str">
        <f t="shared" ca="1" si="1299"/>
        <v/>
      </c>
    </row>
    <row r="1412" spans="13:13" x14ac:dyDescent="0.25">
      <c r="M1412" t="str">
        <f t="shared" ca="1" si="1299"/>
        <v/>
      </c>
    </row>
    <row r="1413" spans="13:13" x14ac:dyDescent="0.25">
      <c r="M1413" t="str">
        <f t="shared" ca="1" si="1299"/>
        <v/>
      </c>
    </row>
    <row r="1414" spans="13:13" x14ac:dyDescent="0.25">
      <c r="M1414" t="str">
        <f t="shared" ca="1" si="1299"/>
        <v/>
      </c>
    </row>
    <row r="1415" spans="13:13" x14ac:dyDescent="0.25">
      <c r="M1415" t="str">
        <f t="shared" ca="1" si="1299"/>
        <v/>
      </c>
    </row>
    <row r="1416" spans="13:13" x14ac:dyDescent="0.25">
      <c r="M1416" t="str">
        <f t="shared" ca="1" si="1299"/>
        <v/>
      </c>
    </row>
    <row r="1417" spans="13:13" x14ac:dyDescent="0.25">
      <c r="M1417" t="str">
        <f t="shared" ca="1" si="1299"/>
        <v/>
      </c>
    </row>
    <row r="1418" spans="13:13" x14ac:dyDescent="0.25">
      <c r="M1418" t="str">
        <f t="shared" ca="1" si="1299"/>
        <v/>
      </c>
    </row>
    <row r="1419" spans="13:13" x14ac:dyDescent="0.25">
      <c r="M1419" t="str">
        <f t="shared" ca="1" si="1299"/>
        <v/>
      </c>
    </row>
    <row r="1420" spans="13:13" x14ac:dyDescent="0.25">
      <c r="M1420" t="str">
        <f t="shared" ca="1" si="1299"/>
        <v/>
      </c>
    </row>
    <row r="1421" spans="13:13" x14ac:dyDescent="0.25">
      <c r="M1421" t="str">
        <f t="shared" ca="1" si="1299"/>
        <v/>
      </c>
    </row>
    <row r="1422" spans="13:13" x14ac:dyDescent="0.25">
      <c r="M1422" t="str">
        <f t="shared" ca="1" si="1299"/>
        <v/>
      </c>
    </row>
    <row r="1423" spans="13:13" x14ac:dyDescent="0.25">
      <c r="M1423" t="str">
        <f t="shared" ca="1" si="1299"/>
        <v/>
      </c>
    </row>
    <row r="1424" spans="13:13" x14ac:dyDescent="0.25">
      <c r="M1424" t="str">
        <f t="shared" ca="1" si="1299"/>
        <v/>
      </c>
    </row>
    <row r="1425" spans="13:13" x14ac:dyDescent="0.25">
      <c r="M1425" t="str">
        <f t="shared" ca="1" si="1299"/>
        <v/>
      </c>
    </row>
    <row r="1426" spans="13:13" x14ac:dyDescent="0.25">
      <c r="M1426" t="str">
        <f t="shared" ca="1" si="1299"/>
        <v/>
      </c>
    </row>
    <row r="1427" spans="13:13" x14ac:dyDescent="0.25">
      <c r="M1427" t="str">
        <f t="shared" ca="1" si="1299"/>
        <v/>
      </c>
    </row>
    <row r="1428" spans="13:13" x14ac:dyDescent="0.25">
      <c r="M1428" t="str">
        <f t="shared" ca="1" si="1299"/>
        <v/>
      </c>
    </row>
    <row r="1429" spans="13:13" x14ac:dyDescent="0.25">
      <c r="M1429" t="str">
        <f t="shared" ca="1" si="1299"/>
        <v/>
      </c>
    </row>
    <row r="1430" spans="13:13" x14ac:dyDescent="0.25">
      <c r="M1430" t="str">
        <f t="shared" ca="1" si="1299"/>
        <v/>
      </c>
    </row>
    <row r="1431" spans="13:13" x14ac:dyDescent="0.25">
      <c r="M1431" t="str">
        <f t="shared" ca="1" si="1299"/>
        <v/>
      </c>
    </row>
    <row r="1432" spans="13:13" x14ac:dyDescent="0.25">
      <c r="M1432" t="str">
        <f t="shared" ca="1" si="1299"/>
        <v/>
      </c>
    </row>
    <row r="1433" spans="13:13" x14ac:dyDescent="0.25">
      <c r="M1433" t="str">
        <f t="shared" ca="1" si="1299"/>
        <v/>
      </c>
    </row>
    <row r="1434" spans="13:13" x14ac:dyDescent="0.25">
      <c r="M1434" t="str">
        <f t="shared" ca="1" si="1299"/>
        <v/>
      </c>
    </row>
    <row r="1435" spans="13:13" x14ac:dyDescent="0.25">
      <c r="M1435" t="str">
        <f t="shared" ca="1" si="1299"/>
        <v/>
      </c>
    </row>
    <row r="1436" spans="13:13" x14ac:dyDescent="0.25">
      <c r="M1436" t="str">
        <f t="shared" ca="1" si="1299"/>
        <v/>
      </c>
    </row>
    <row r="1437" spans="13:13" x14ac:dyDescent="0.25">
      <c r="M1437" t="str">
        <f t="shared" ca="1" si="1299"/>
        <v/>
      </c>
    </row>
    <row r="1438" spans="13:13" x14ac:dyDescent="0.25">
      <c r="M1438" t="str">
        <f t="shared" ca="1" si="1299"/>
        <v/>
      </c>
    </row>
    <row r="1439" spans="13:13" x14ac:dyDescent="0.25">
      <c r="M1439" t="str">
        <f t="shared" ca="1" si="1299"/>
        <v/>
      </c>
    </row>
    <row r="1440" spans="13:13" x14ac:dyDescent="0.25">
      <c r="M1440" t="str">
        <f t="shared" ca="1" si="1299"/>
        <v/>
      </c>
    </row>
    <row r="1441" spans="13:13" x14ac:dyDescent="0.25">
      <c r="M1441" t="str">
        <f t="shared" ca="1" si="1299"/>
        <v/>
      </c>
    </row>
    <row r="1442" spans="13:13" x14ac:dyDescent="0.25">
      <c r="M1442" t="str">
        <f t="shared" ca="1" si="1299"/>
        <v/>
      </c>
    </row>
    <row r="1443" spans="13:13" x14ac:dyDescent="0.25">
      <c r="M1443" t="str">
        <f t="shared" ca="1" si="1299"/>
        <v/>
      </c>
    </row>
    <row r="1444" spans="13:13" x14ac:dyDescent="0.25">
      <c r="M1444" t="str">
        <f t="shared" ca="1" si="1299"/>
        <v/>
      </c>
    </row>
    <row r="1445" spans="13:13" x14ac:dyDescent="0.25">
      <c r="M1445" t="str">
        <f t="shared" ca="1" si="1299"/>
        <v/>
      </c>
    </row>
    <row r="1446" spans="13:13" x14ac:dyDescent="0.25">
      <c r="M1446" t="str">
        <f t="shared" ca="1" si="1299"/>
        <v/>
      </c>
    </row>
    <row r="1447" spans="13:13" x14ac:dyDescent="0.25">
      <c r="M1447" t="str">
        <f t="shared" ca="1" si="1299"/>
        <v/>
      </c>
    </row>
    <row r="1448" spans="13:13" x14ac:dyDescent="0.25">
      <c r="M1448" t="str">
        <f t="shared" ca="1" si="1299"/>
        <v/>
      </c>
    </row>
    <row r="1449" spans="13:13" x14ac:dyDescent="0.25">
      <c r="M1449" t="str">
        <f t="shared" ca="1" si="1299"/>
        <v/>
      </c>
    </row>
    <row r="1450" spans="13:13" x14ac:dyDescent="0.25">
      <c r="M1450" t="str">
        <f t="shared" ca="1" si="1299"/>
        <v/>
      </c>
    </row>
    <row r="1451" spans="13:13" x14ac:dyDescent="0.25">
      <c r="M1451" t="str">
        <f t="shared" ca="1" si="1299"/>
        <v/>
      </c>
    </row>
    <row r="1452" spans="13:13" x14ac:dyDescent="0.25">
      <c r="M1452" t="str">
        <f t="shared" ca="1" si="1299"/>
        <v/>
      </c>
    </row>
    <row r="1453" spans="13:13" x14ac:dyDescent="0.25">
      <c r="M1453" t="str">
        <f t="shared" ca="1" si="1299"/>
        <v/>
      </c>
    </row>
    <row r="1454" spans="13:13" x14ac:dyDescent="0.25">
      <c r="M1454" t="str">
        <f t="shared" ca="1" si="1299"/>
        <v/>
      </c>
    </row>
    <row r="1455" spans="13:13" x14ac:dyDescent="0.25">
      <c r="M1455" t="str">
        <f t="shared" ca="1" si="1299"/>
        <v/>
      </c>
    </row>
    <row r="1456" spans="13:13" x14ac:dyDescent="0.25">
      <c r="M1456" t="str">
        <f t="shared" ca="1" si="1299"/>
        <v/>
      </c>
    </row>
    <row r="1457" spans="13:13" x14ac:dyDescent="0.25">
      <c r="M1457" t="str">
        <f t="shared" ca="1" si="1299"/>
        <v/>
      </c>
    </row>
    <row r="1458" spans="13:13" x14ac:dyDescent="0.25">
      <c r="M1458" t="str">
        <f t="shared" ref="M1458:M1521" ca="1" si="1300">IF(F1458="Enrolled",TODAY() - E1458,"")</f>
        <v/>
      </c>
    </row>
    <row r="1459" spans="13:13" x14ac:dyDescent="0.25">
      <c r="M1459" t="str">
        <f t="shared" ca="1" si="1300"/>
        <v/>
      </c>
    </row>
    <row r="1460" spans="13:13" x14ac:dyDescent="0.25">
      <c r="M1460" t="str">
        <f t="shared" ca="1" si="1300"/>
        <v/>
      </c>
    </row>
    <row r="1461" spans="13:13" x14ac:dyDescent="0.25">
      <c r="M1461" t="str">
        <f t="shared" ca="1" si="1300"/>
        <v/>
      </c>
    </row>
    <row r="1462" spans="13:13" x14ac:dyDescent="0.25">
      <c r="M1462" t="str">
        <f t="shared" ca="1" si="1300"/>
        <v/>
      </c>
    </row>
    <row r="1463" spans="13:13" x14ac:dyDescent="0.25">
      <c r="M1463" t="str">
        <f t="shared" ca="1" si="1300"/>
        <v/>
      </c>
    </row>
    <row r="1464" spans="13:13" x14ac:dyDescent="0.25">
      <c r="M1464" t="str">
        <f t="shared" ca="1" si="1300"/>
        <v/>
      </c>
    </row>
    <row r="1465" spans="13:13" x14ac:dyDescent="0.25">
      <c r="M1465" t="str">
        <f t="shared" ca="1" si="1300"/>
        <v/>
      </c>
    </row>
    <row r="1466" spans="13:13" x14ac:dyDescent="0.25">
      <c r="M1466" t="str">
        <f t="shared" ca="1" si="1300"/>
        <v/>
      </c>
    </row>
    <row r="1467" spans="13:13" x14ac:dyDescent="0.25">
      <c r="M1467" t="str">
        <f t="shared" ca="1" si="1300"/>
        <v/>
      </c>
    </row>
    <row r="1468" spans="13:13" x14ac:dyDescent="0.25">
      <c r="M1468" t="str">
        <f t="shared" ca="1" si="1300"/>
        <v/>
      </c>
    </row>
    <row r="1469" spans="13:13" x14ac:dyDescent="0.25">
      <c r="M1469" t="str">
        <f t="shared" ca="1" si="1300"/>
        <v/>
      </c>
    </row>
    <row r="1470" spans="13:13" x14ac:dyDescent="0.25">
      <c r="M1470" t="str">
        <f t="shared" ca="1" si="1300"/>
        <v/>
      </c>
    </row>
    <row r="1471" spans="13:13" x14ac:dyDescent="0.25">
      <c r="M1471" t="str">
        <f t="shared" ca="1" si="1300"/>
        <v/>
      </c>
    </row>
    <row r="1472" spans="13:13" x14ac:dyDescent="0.25">
      <c r="M1472" t="str">
        <f t="shared" ca="1" si="1300"/>
        <v/>
      </c>
    </row>
    <row r="1473" spans="13:13" x14ac:dyDescent="0.25">
      <c r="M1473" t="str">
        <f t="shared" ca="1" si="1300"/>
        <v/>
      </c>
    </row>
    <row r="1474" spans="13:13" x14ac:dyDescent="0.25">
      <c r="M1474" t="str">
        <f t="shared" ca="1" si="1300"/>
        <v/>
      </c>
    </row>
    <row r="1475" spans="13:13" x14ac:dyDescent="0.25">
      <c r="M1475" t="str">
        <f t="shared" ca="1" si="1300"/>
        <v/>
      </c>
    </row>
    <row r="1476" spans="13:13" x14ac:dyDescent="0.25">
      <c r="M1476" t="str">
        <f t="shared" ca="1" si="1300"/>
        <v/>
      </c>
    </row>
    <row r="1477" spans="13:13" x14ac:dyDescent="0.25">
      <c r="M1477" t="str">
        <f t="shared" ca="1" si="1300"/>
        <v/>
      </c>
    </row>
    <row r="1478" spans="13:13" x14ac:dyDescent="0.25">
      <c r="M1478" t="str">
        <f t="shared" ca="1" si="1300"/>
        <v/>
      </c>
    </row>
    <row r="1479" spans="13:13" x14ac:dyDescent="0.25">
      <c r="M1479" t="str">
        <f t="shared" ca="1" si="1300"/>
        <v/>
      </c>
    </row>
    <row r="1480" spans="13:13" x14ac:dyDescent="0.25">
      <c r="M1480" t="str">
        <f t="shared" ca="1" si="1300"/>
        <v/>
      </c>
    </row>
    <row r="1481" spans="13:13" x14ac:dyDescent="0.25">
      <c r="M1481" t="str">
        <f t="shared" ca="1" si="1300"/>
        <v/>
      </c>
    </row>
    <row r="1482" spans="13:13" x14ac:dyDescent="0.25">
      <c r="M1482" t="str">
        <f t="shared" ca="1" si="1300"/>
        <v/>
      </c>
    </row>
    <row r="1483" spans="13:13" x14ac:dyDescent="0.25">
      <c r="M1483" t="str">
        <f t="shared" ca="1" si="1300"/>
        <v/>
      </c>
    </row>
    <row r="1484" spans="13:13" x14ac:dyDescent="0.25">
      <c r="M1484" t="str">
        <f t="shared" ca="1" si="1300"/>
        <v/>
      </c>
    </row>
    <row r="1485" spans="13:13" x14ac:dyDescent="0.25">
      <c r="M1485" t="str">
        <f t="shared" ca="1" si="1300"/>
        <v/>
      </c>
    </row>
    <row r="1486" spans="13:13" x14ac:dyDescent="0.25">
      <c r="M1486" t="str">
        <f t="shared" ca="1" si="1300"/>
        <v/>
      </c>
    </row>
    <row r="1487" spans="13:13" x14ac:dyDescent="0.25">
      <c r="M1487" t="str">
        <f t="shared" ca="1" si="1300"/>
        <v/>
      </c>
    </row>
    <row r="1488" spans="13:13" x14ac:dyDescent="0.25">
      <c r="M1488" t="str">
        <f t="shared" ca="1" si="1300"/>
        <v/>
      </c>
    </row>
    <row r="1489" spans="13:13" x14ac:dyDescent="0.25">
      <c r="M1489" t="str">
        <f t="shared" ca="1" si="1300"/>
        <v/>
      </c>
    </row>
    <row r="1490" spans="13:13" x14ac:dyDescent="0.25">
      <c r="M1490" t="str">
        <f t="shared" ca="1" si="1300"/>
        <v/>
      </c>
    </row>
    <row r="1491" spans="13:13" x14ac:dyDescent="0.25">
      <c r="M1491" t="str">
        <f t="shared" ca="1" si="1300"/>
        <v/>
      </c>
    </row>
    <row r="1492" spans="13:13" x14ac:dyDescent="0.25">
      <c r="M1492" t="str">
        <f t="shared" ca="1" si="1300"/>
        <v/>
      </c>
    </row>
    <row r="1493" spans="13:13" x14ac:dyDescent="0.25">
      <c r="M1493" t="str">
        <f t="shared" ca="1" si="1300"/>
        <v/>
      </c>
    </row>
    <row r="1494" spans="13:13" x14ac:dyDescent="0.25">
      <c r="M1494" t="str">
        <f t="shared" ca="1" si="1300"/>
        <v/>
      </c>
    </row>
    <row r="1495" spans="13:13" x14ac:dyDescent="0.25">
      <c r="M1495" t="str">
        <f t="shared" ca="1" si="1300"/>
        <v/>
      </c>
    </row>
    <row r="1496" spans="13:13" x14ac:dyDescent="0.25">
      <c r="M1496" t="str">
        <f t="shared" ca="1" si="1300"/>
        <v/>
      </c>
    </row>
    <row r="1497" spans="13:13" x14ac:dyDescent="0.25">
      <c r="M1497" t="str">
        <f t="shared" ca="1" si="1300"/>
        <v/>
      </c>
    </row>
    <row r="1498" spans="13:13" x14ac:dyDescent="0.25">
      <c r="M1498" t="str">
        <f t="shared" ca="1" si="1300"/>
        <v/>
      </c>
    </row>
    <row r="1499" spans="13:13" x14ac:dyDescent="0.25">
      <c r="M1499" t="str">
        <f t="shared" ca="1" si="1300"/>
        <v/>
      </c>
    </row>
    <row r="1500" spans="13:13" x14ac:dyDescent="0.25">
      <c r="M1500" t="str">
        <f t="shared" ca="1" si="1300"/>
        <v/>
      </c>
    </row>
    <row r="1501" spans="13:13" x14ac:dyDescent="0.25">
      <c r="M1501" t="str">
        <f t="shared" ca="1" si="1300"/>
        <v/>
      </c>
    </row>
    <row r="1502" spans="13:13" x14ac:dyDescent="0.25">
      <c r="M1502" t="str">
        <f t="shared" ca="1" si="1300"/>
        <v/>
      </c>
    </row>
    <row r="1503" spans="13:13" x14ac:dyDescent="0.25">
      <c r="M1503" t="str">
        <f t="shared" ca="1" si="1300"/>
        <v/>
      </c>
    </row>
    <row r="1504" spans="13:13" x14ac:dyDescent="0.25">
      <c r="M1504" t="str">
        <f t="shared" ca="1" si="1300"/>
        <v/>
      </c>
    </row>
    <row r="1505" spans="13:13" x14ac:dyDescent="0.25">
      <c r="M1505" t="str">
        <f t="shared" ca="1" si="1300"/>
        <v/>
      </c>
    </row>
    <row r="1506" spans="13:13" x14ac:dyDescent="0.25">
      <c r="M1506" t="str">
        <f t="shared" ca="1" si="1300"/>
        <v/>
      </c>
    </row>
    <row r="1507" spans="13:13" x14ac:dyDescent="0.25">
      <c r="M1507" t="str">
        <f t="shared" ca="1" si="1300"/>
        <v/>
      </c>
    </row>
    <row r="1508" spans="13:13" x14ac:dyDescent="0.25">
      <c r="M1508" t="str">
        <f t="shared" ca="1" si="1300"/>
        <v/>
      </c>
    </row>
    <row r="1509" spans="13:13" x14ac:dyDescent="0.25">
      <c r="M1509" t="str">
        <f t="shared" ca="1" si="1300"/>
        <v/>
      </c>
    </row>
    <row r="1510" spans="13:13" x14ac:dyDescent="0.25">
      <c r="M1510" t="str">
        <f t="shared" ca="1" si="1300"/>
        <v/>
      </c>
    </row>
    <row r="1511" spans="13:13" x14ac:dyDescent="0.25">
      <c r="M1511" t="str">
        <f t="shared" ca="1" si="1300"/>
        <v/>
      </c>
    </row>
    <row r="1512" spans="13:13" x14ac:dyDescent="0.25">
      <c r="M1512" t="str">
        <f t="shared" ca="1" si="1300"/>
        <v/>
      </c>
    </row>
    <row r="1513" spans="13:13" x14ac:dyDescent="0.25">
      <c r="M1513" t="str">
        <f t="shared" ca="1" si="1300"/>
        <v/>
      </c>
    </row>
    <row r="1514" spans="13:13" x14ac:dyDescent="0.25">
      <c r="M1514" t="str">
        <f t="shared" ca="1" si="1300"/>
        <v/>
      </c>
    </row>
    <row r="1515" spans="13:13" x14ac:dyDescent="0.25">
      <c r="M1515" t="str">
        <f t="shared" ca="1" si="1300"/>
        <v/>
      </c>
    </row>
    <row r="1516" spans="13:13" x14ac:dyDescent="0.25">
      <c r="M1516" t="str">
        <f t="shared" ca="1" si="1300"/>
        <v/>
      </c>
    </row>
    <row r="1517" spans="13:13" x14ac:dyDescent="0.25">
      <c r="M1517" t="str">
        <f t="shared" ca="1" si="1300"/>
        <v/>
      </c>
    </row>
    <row r="1518" spans="13:13" x14ac:dyDescent="0.25">
      <c r="M1518" t="str">
        <f t="shared" ca="1" si="1300"/>
        <v/>
      </c>
    </row>
    <row r="1519" spans="13:13" x14ac:dyDescent="0.25">
      <c r="M1519" t="str">
        <f t="shared" ca="1" si="1300"/>
        <v/>
      </c>
    </row>
    <row r="1520" spans="13:13" x14ac:dyDescent="0.25">
      <c r="M1520" t="str">
        <f t="shared" ca="1" si="1300"/>
        <v/>
      </c>
    </row>
    <row r="1521" spans="13:13" x14ac:dyDescent="0.25">
      <c r="M1521" t="str">
        <f t="shared" ca="1" si="1300"/>
        <v/>
      </c>
    </row>
    <row r="1522" spans="13:13" x14ac:dyDescent="0.25">
      <c r="M1522" t="str">
        <f t="shared" ref="M1522:M1585" ca="1" si="1301">IF(F1522="Enrolled",TODAY() - E1522,"")</f>
        <v/>
      </c>
    </row>
    <row r="1523" spans="13:13" x14ac:dyDescent="0.25">
      <c r="M1523" t="str">
        <f t="shared" ca="1" si="1301"/>
        <v/>
      </c>
    </row>
    <row r="1524" spans="13:13" x14ac:dyDescent="0.25">
      <c r="M1524" t="str">
        <f t="shared" ca="1" si="1301"/>
        <v/>
      </c>
    </row>
    <row r="1525" spans="13:13" x14ac:dyDescent="0.25">
      <c r="M1525" t="str">
        <f t="shared" ca="1" si="1301"/>
        <v/>
      </c>
    </row>
    <row r="1526" spans="13:13" x14ac:dyDescent="0.25">
      <c r="M1526" t="str">
        <f t="shared" ca="1" si="1301"/>
        <v/>
      </c>
    </row>
    <row r="1527" spans="13:13" x14ac:dyDescent="0.25">
      <c r="M1527" t="str">
        <f t="shared" ca="1" si="1301"/>
        <v/>
      </c>
    </row>
    <row r="1528" spans="13:13" x14ac:dyDescent="0.25">
      <c r="M1528" t="str">
        <f t="shared" ca="1" si="1301"/>
        <v/>
      </c>
    </row>
    <row r="1529" spans="13:13" x14ac:dyDescent="0.25">
      <c r="M1529" t="str">
        <f t="shared" ca="1" si="1301"/>
        <v/>
      </c>
    </row>
    <row r="1530" spans="13:13" x14ac:dyDescent="0.25">
      <c r="M1530" t="str">
        <f t="shared" ca="1" si="1301"/>
        <v/>
      </c>
    </row>
    <row r="1531" spans="13:13" x14ac:dyDescent="0.25">
      <c r="M1531" t="str">
        <f t="shared" ca="1" si="1301"/>
        <v/>
      </c>
    </row>
    <row r="1532" spans="13:13" x14ac:dyDescent="0.25">
      <c r="M1532" t="str">
        <f t="shared" ca="1" si="1301"/>
        <v/>
      </c>
    </row>
    <row r="1533" spans="13:13" x14ac:dyDescent="0.25">
      <c r="M1533" t="str">
        <f t="shared" ca="1" si="1301"/>
        <v/>
      </c>
    </row>
    <row r="1534" spans="13:13" x14ac:dyDescent="0.25">
      <c r="M1534" t="str">
        <f t="shared" ca="1" si="1301"/>
        <v/>
      </c>
    </row>
    <row r="1535" spans="13:13" x14ac:dyDescent="0.25">
      <c r="M1535" t="str">
        <f t="shared" ca="1" si="1301"/>
        <v/>
      </c>
    </row>
    <row r="1536" spans="13:13" x14ac:dyDescent="0.25">
      <c r="M1536" t="str">
        <f t="shared" ca="1" si="1301"/>
        <v/>
      </c>
    </row>
    <row r="1537" spans="13:13" x14ac:dyDescent="0.25">
      <c r="M1537" t="str">
        <f t="shared" ca="1" si="1301"/>
        <v/>
      </c>
    </row>
    <row r="1538" spans="13:13" x14ac:dyDescent="0.25">
      <c r="M1538" t="str">
        <f t="shared" ca="1" si="1301"/>
        <v/>
      </c>
    </row>
    <row r="1539" spans="13:13" x14ac:dyDescent="0.25">
      <c r="M1539" t="str">
        <f t="shared" ca="1" si="1301"/>
        <v/>
      </c>
    </row>
    <row r="1540" spans="13:13" x14ac:dyDescent="0.25">
      <c r="M1540" t="str">
        <f t="shared" ca="1" si="1301"/>
        <v/>
      </c>
    </row>
    <row r="1541" spans="13:13" x14ac:dyDescent="0.25">
      <c r="M1541" t="str">
        <f t="shared" ca="1" si="1301"/>
        <v/>
      </c>
    </row>
    <row r="1542" spans="13:13" x14ac:dyDescent="0.25">
      <c r="M1542" t="str">
        <f t="shared" ca="1" si="1301"/>
        <v/>
      </c>
    </row>
    <row r="1543" spans="13:13" x14ac:dyDescent="0.25">
      <c r="M1543" t="str">
        <f t="shared" ca="1" si="1301"/>
        <v/>
      </c>
    </row>
    <row r="1544" spans="13:13" x14ac:dyDescent="0.25">
      <c r="M1544" t="str">
        <f t="shared" ca="1" si="1301"/>
        <v/>
      </c>
    </row>
    <row r="1545" spans="13:13" x14ac:dyDescent="0.25">
      <c r="M1545" t="str">
        <f t="shared" ca="1" si="1301"/>
        <v/>
      </c>
    </row>
    <row r="1546" spans="13:13" x14ac:dyDescent="0.25">
      <c r="M1546" t="str">
        <f t="shared" ca="1" si="1301"/>
        <v/>
      </c>
    </row>
    <row r="1547" spans="13:13" x14ac:dyDescent="0.25">
      <c r="M1547" t="str">
        <f t="shared" ca="1" si="1301"/>
        <v/>
      </c>
    </row>
    <row r="1548" spans="13:13" x14ac:dyDescent="0.25">
      <c r="M1548" t="str">
        <f t="shared" ca="1" si="1301"/>
        <v/>
      </c>
    </row>
    <row r="1549" spans="13:13" x14ac:dyDescent="0.25">
      <c r="M1549" t="str">
        <f t="shared" ca="1" si="1301"/>
        <v/>
      </c>
    </row>
    <row r="1550" spans="13:13" x14ac:dyDescent="0.25">
      <c r="M1550" t="str">
        <f t="shared" ca="1" si="1301"/>
        <v/>
      </c>
    </row>
    <row r="1551" spans="13:13" x14ac:dyDescent="0.25">
      <c r="M1551" t="str">
        <f t="shared" ca="1" si="1301"/>
        <v/>
      </c>
    </row>
    <row r="1552" spans="13:13" x14ac:dyDescent="0.25">
      <c r="M1552" t="str">
        <f t="shared" ca="1" si="1301"/>
        <v/>
      </c>
    </row>
    <row r="1553" spans="13:13" x14ac:dyDescent="0.25">
      <c r="M1553" t="str">
        <f t="shared" ca="1" si="1301"/>
        <v/>
      </c>
    </row>
    <row r="1554" spans="13:13" x14ac:dyDescent="0.25">
      <c r="M1554" t="str">
        <f t="shared" ca="1" si="1301"/>
        <v/>
      </c>
    </row>
    <row r="1555" spans="13:13" x14ac:dyDescent="0.25">
      <c r="M1555" t="str">
        <f t="shared" ca="1" si="1301"/>
        <v/>
      </c>
    </row>
    <row r="1556" spans="13:13" x14ac:dyDescent="0.25">
      <c r="M1556" t="str">
        <f t="shared" ca="1" si="1301"/>
        <v/>
      </c>
    </row>
    <row r="1557" spans="13:13" x14ac:dyDescent="0.25">
      <c r="M1557" t="str">
        <f t="shared" ca="1" si="1301"/>
        <v/>
      </c>
    </row>
    <row r="1558" spans="13:13" x14ac:dyDescent="0.25">
      <c r="M1558" t="str">
        <f t="shared" ca="1" si="1301"/>
        <v/>
      </c>
    </row>
    <row r="1559" spans="13:13" x14ac:dyDescent="0.25">
      <c r="M1559" t="str">
        <f t="shared" ca="1" si="1301"/>
        <v/>
      </c>
    </row>
    <row r="1560" spans="13:13" x14ac:dyDescent="0.25">
      <c r="M1560" t="str">
        <f t="shared" ca="1" si="1301"/>
        <v/>
      </c>
    </row>
    <row r="1561" spans="13:13" x14ac:dyDescent="0.25">
      <c r="M1561" t="str">
        <f t="shared" ca="1" si="1301"/>
        <v/>
      </c>
    </row>
    <row r="1562" spans="13:13" x14ac:dyDescent="0.25">
      <c r="M1562" t="str">
        <f t="shared" ca="1" si="1301"/>
        <v/>
      </c>
    </row>
    <row r="1563" spans="13:13" x14ac:dyDescent="0.25">
      <c r="M1563" t="str">
        <f t="shared" ca="1" si="1301"/>
        <v/>
      </c>
    </row>
    <row r="1564" spans="13:13" x14ac:dyDescent="0.25">
      <c r="M1564" t="str">
        <f t="shared" ca="1" si="1301"/>
        <v/>
      </c>
    </row>
    <row r="1565" spans="13:13" x14ac:dyDescent="0.25">
      <c r="M1565" t="str">
        <f t="shared" ca="1" si="1301"/>
        <v/>
      </c>
    </row>
    <row r="1566" spans="13:13" x14ac:dyDescent="0.25">
      <c r="M1566" t="str">
        <f t="shared" ca="1" si="1301"/>
        <v/>
      </c>
    </row>
    <row r="1567" spans="13:13" x14ac:dyDescent="0.25">
      <c r="M1567" t="str">
        <f t="shared" ca="1" si="1301"/>
        <v/>
      </c>
    </row>
    <row r="1568" spans="13:13" x14ac:dyDescent="0.25">
      <c r="M1568" t="str">
        <f t="shared" ca="1" si="1301"/>
        <v/>
      </c>
    </row>
    <row r="1569" spans="13:13" x14ac:dyDescent="0.25">
      <c r="M1569" t="str">
        <f t="shared" ca="1" si="1301"/>
        <v/>
      </c>
    </row>
    <row r="1570" spans="13:13" x14ac:dyDescent="0.25">
      <c r="M1570" t="str">
        <f t="shared" ca="1" si="1301"/>
        <v/>
      </c>
    </row>
    <row r="1571" spans="13:13" x14ac:dyDescent="0.25">
      <c r="M1571" t="str">
        <f t="shared" ca="1" si="1301"/>
        <v/>
      </c>
    </row>
    <row r="1572" spans="13:13" x14ac:dyDescent="0.25">
      <c r="M1572" t="str">
        <f t="shared" ca="1" si="1301"/>
        <v/>
      </c>
    </row>
    <row r="1573" spans="13:13" x14ac:dyDescent="0.25">
      <c r="M1573" t="str">
        <f t="shared" ca="1" si="1301"/>
        <v/>
      </c>
    </row>
    <row r="1574" spans="13:13" x14ac:dyDescent="0.25">
      <c r="M1574" t="str">
        <f t="shared" ca="1" si="1301"/>
        <v/>
      </c>
    </row>
    <row r="1575" spans="13:13" x14ac:dyDescent="0.25">
      <c r="M1575" t="str">
        <f t="shared" ca="1" si="1301"/>
        <v/>
      </c>
    </row>
    <row r="1576" spans="13:13" x14ac:dyDescent="0.25">
      <c r="M1576" t="str">
        <f t="shared" ca="1" si="1301"/>
        <v/>
      </c>
    </row>
    <row r="1577" spans="13:13" x14ac:dyDescent="0.25">
      <c r="M1577" t="str">
        <f t="shared" ca="1" si="1301"/>
        <v/>
      </c>
    </row>
    <row r="1578" spans="13:13" x14ac:dyDescent="0.25">
      <c r="M1578" t="str">
        <f t="shared" ca="1" si="1301"/>
        <v/>
      </c>
    </row>
    <row r="1579" spans="13:13" x14ac:dyDescent="0.25">
      <c r="M1579" t="str">
        <f t="shared" ca="1" si="1301"/>
        <v/>
      </c>
    </row>
    <row r="1580" spans="13:13" x14ac:dyDescent="0.25">
      <c r="M1580" t="str">
        <f t="shared" ca="1" si="1301"/>
        <v/>
      </c>
    </row>
    <row r="1581" spans="13:13" x14ac:dyDescent="0.25">
      <c r="M1581" t="str">
        <f t="shared" ca="1" si="1301"/>
        <v/>
      </c>
    </row>
    <row r="1582" spans="13:13" x14ac:dyDescent="0.25">
      <c r="M1582" t="str">
        <f t="shared" ca="1" si="1301"/>
        <v/>
      </c>
    </row>
    <row r="1583" spans="13:13" x14ac:dyDescent="0.25">
      <c r="M1583" t="str">
        <f t="shared" ca="1" si="1301"/>
        <v/>
      </c>
    </row>
    <row r="1584" spans="13:13" x14ac:dyDescent="0.25">
      <c r="M1584" t="str">
        <f t="shared" ca="1" si="1301"/>
        <v/>
      </c>
    </row>
    <row r="1585" spans="13:13" x14ac:dyDescent="0.25">
      <c r="M1585" t="str">
        <f t="shared" ca="1" si="1301"/>
        <v/>
      </c>
    </row>
    <row r="1586" spans="13:13" x14ac:dyDescent="0.25">
      <c r="M1586" t="str">
        <f t="shared" ref="M1586:M1632" ca="1" si="1302">IF(F1586="Enrolled",TODAY() - E1586,"")</f>
        <v/>
      </c>
    </row>
    <row r="1587" spans="13:13" x14ac:dyDescent="0.25">
      <c r="M1587" t="str">
        <f t="shared" ca="1" si="1302"/>
        <v/>
      </c>
    </row>
    <row r="1588" spans="13:13" x14ac:dyDescent="0.25">
      <c r="M1588" t="str">
        <f t="shared" ca="1" si="1302"/>
        <v/>
      </c>
    </row>
    <row r="1589" spans="13:13" x14ac:dyDescent="0.25">
      <c r="M1589" t="str">
        <f t="shared" ca="1" si="1302"/>
        <v/>
      </c>
    </row>
    <row r="1590" spans="13:13" x14ac:dyDescent="0.25">
      <c r="M1590" t="str">
        <f t="shared" ca="1" si="1302"/>
        <v/>
      </c>
    </row>
    <row r="1591" spans="13:13" x14ac:dyDescent="0.25">
      <c r="M1591" t="str">
        <f t="shared" ca="1" si="1302"/>
        <v/>
      </c>
    </row>
    <row r="1592" spans="13:13" x14ac:dyDescent="0.25">
      <c r="M1592" t="str">
        <f t="shared" ca="1" si="1302"/>
        <v/>
      </c>
    </row>
    <row r="1593" spans="13:13" x14ac:dyDescent="0.25">
      <c r="M1593" t="str">
        <f t="shared" ca="1" si="1302"/>
        <v/>
      </c>
    </row>
    <row r="1594" spans="13:13" x14ac:dyDescent="0.25">
      <c r="M1594" t="str">
        <f t="shared" ca="1" si="1302"/>
        <v/>
      </c>
    </row>
    <row r="1595" spans="13:13" x14ac:dyDescent="0.25">
      <c r="M1595" t="str">
        <f t="shared" ca="1" si="1302"/>
        <v/>
      </c>
    </row>
    <row r="1596" spans="13:13" x14ac:dyDescent="0.25">
      <c r="M1596" t="str">
        <f t="shared" ca="1" si="1302"/>
        <v/>
      </c>
    </row>
    <row r="1597" spans="13:13" x14ac:dyDescent="0.25">
      <c r="M1597" t="str">
        <f t="shared" ca="1" si="1302"/>
        <v/>
      </c>
    </row>
    <row r="1598" spans="13:13" x14ac:dyDescent="0.25">
      <c r="M1598" t="str">
        <f t="shared" ca="1" si="1302"/>
        <v/>
      </c>
    </row>
    <row r="1599" spans="13:13" x14ac:dyDescent="0.25">
      <c r="M1599" t="str">
        <f t="shared" ca="1" si="1302"/>
        <v/>
      </c>
    </row>
    <row r="1600" spans="13:13" x14ac:dyDescent="0.25">
      <c r="M1600" t="str">
        <f t="shared" ca="1" si="1302"/>
        <v/>
      </c>
    </row>
    <row r="1601" spans="13:13" x14ac:dyDescent="0.25">
      <c r="M1601" t="str">
        <f t="shared" ca="1" si="1302"/>
        <v/>
      </c>
    </row>
    <row r="1602" spans="13:13" x14ac:dyDescent="0.25">
      <c r="M1602" t="str">
        <f t="shared" ca="1" si="1302"/>
        <v/>
      </c>
    </row>
    <row r="1603" spans="13:13" x14ac:dyDescent="0.25">
      <c r="M1603" t="str">
        <f t="shared" ca="1" si="1302"/>
        <v/>
      </c>
    </row>
    <row r="1604" spans="13:13" x14ac:dyDescent="0.25">
      <c r="M1604" t="str">
        <f t="shared" ca="1" si="1302"/>
        <v/>
      </c>
    </row>
    <row r="1605" spans="13:13" x14ac:dyDescent="0.25">
      <c r="M1605" t="str">
        <f t="shared" ca="1" si="1302"/>
        <v/>
      </c>
    </row>
    <row r="1606" spans="13:13" x14ac:dyDescent="0.25">
      <c r="M1606" t="str">
        <f t="shared" ca="1" si="1302"/>
        <v/>
      </c>
    </row>
    <row r="1607" spans="13:13" x14ac:dyDescent="0.25">
      <c r="M1607" t="str">
        <f t="shared" ca="1" si="1302"/>
        <v/>
      </c>
    </row>
    <row r="1608" spans="13:13" x14ac:dyDescent="0.25">
      <c r="M1608" t="str">
        <f t="shared" ca="1" si="1302"/>
        <v/>
      </c>
    </row>
    <row r="1609" spans="13:13" x14ac:dyDescent="0.25">
      <c r="M1609" t="str">
        <f t="shared" ca="1" si="1302"/>
        <v/>
      </c>
    </row>
    <row r="1610" spans="13:13" x14ac:dyDescent="0.25">
      <c r="M1610" t="str">
        <f t="shared" ca="1" si="1302"/>
        <v/>
      </c>
    </row>
    <row r="1611" spans="13:13" x14ac:dyDescent="0.25">
      <c r="M1611" t="str">
        <f t="shared" ca="1" si="1302"/>
        <v/>
      </c>
    </row>
    <row r="1612" spans="13:13" x14ac:dyDescent="0.25">
      <c r="M1612" t="str">
        <f t="shared" ca="1" si="1302"/>
        <v/>
      </c>
    </row>
    <row r="1613" spans="13:13" x14ac:dyDescent="0.25">
      <c r="M1613" t="str">
        <f t="shared" ca="1" si="1302"/>
        <v/>
      </c>
    </row>
    <row r="1614" spans="13:13" x14ac:dyDescent="0.25">
      <c r="M1614" t="str">
        <f t="shared" ca="1" si="1302"/>
        <v/>
      </c>
    </row>
    <row r="1615" spans="13:13" x14ac:dyDescent="0.25">
      <c r="M1615" t="str">
        <f t="shared" ca="1" si="1302"/>
        <v/>
      </c>
    </row>
    <row r="1616" spans="13:13" x14ac:dyDescent="0.25">
      <c r="M1616" t="str">
        <f t="shared" ca="1" si="1302"/>
        <v/>
      </c>
    </row>
    <row r="1617" spans="13:13" x14ac:dyDescent="0.25">
      <c r="M1617" t="str">
        <f t="shared" ca="1" si="1302"/>
        <v/>
      </c>
    </row>
    <row r="1618" spans="13:13" x14ac:dyDescent="0.25">
      <c r="M1618" t="str">
        <f t="shared" ca="1" si="1302"/>
        <v/>
      </c>
    </row>
    <row r="1619" spans="13:13" x14ac:dyDescent="0.25">
      <c r="M1619" t="str">
        <f t="shared" ca="1" si="1302"/>
        <v/>
      </c>
    </row>
    <row r="1620" spans="13:13" x14ac:dyDescent="0.25">
      <c r="M1620" t="str">
        <f t="shared" ca="1" si="1302"/>
        <v/>
      </c>
    </row>
    <row r="1621" spans="13:13" x14ac:dyDescent="0.25">
      <c r="M1621" t="str">
        <f t="shared" ca="1" si="1302"/>
        <v/>
      </c>
    </row>
    <row r="1622" spans="13:13" x14ac:dyDescent="0.25">
      <c r="M1622" t="str">
        <f t="shared" ca="1" si="1302"/>
        <v/>
      </c>
    </row>
    <row r="1623" spans="13:13" x14ac:dyDescent="0.25">
      <c r="M1623" t="str">
        <f t="shared" ca="1" si="1302"/>
        <v/>
      </c>
    </row>
    <row r="1624" spans="13:13" x14ac:dyDescent="0.25">
      <c r="M1624" t="str">
        <f t="shared" ca="1" si="1302"/>
        <v/>
      </c>
    </row>
    <row r="1625" spans="13:13" x14ac:dyDescent="0.25">
      <c r="M1625" t="str">
        <f t="shared" ca="1" si="1302"/>
        <v/>
      </c>
    </row>
    <row r="1626" spans="13:13" x14ac:dyDescent="0.25">
      <c r="M1626" t="str">
        <f t="shared" ca="1" si="1302"/>
        <v/>
      </c>
    </row>
    <row r="1627" spans="13:13" x14ac:dyDescent="0.25">
      <c r="M1627" t="str">
        <f t="shared" ca="1" si="1302"/>
        <v/>
      </c>
    </row>
    <row r="1628" spans="13:13" x14ac:dyDescent="0.25">
      <c r="M1628" t="str">
        <f t="shared" ca="1" si="1302"/>
        <v/>
      </c>
    </row>
    <row r="1629" spans="13:13" x14ac:dyDescent="0.25">
      <c r="M1629" t="str">
        <f t="shared" ca="1" si="1302"/>
        <v/>
      </c>
    </row>
    <row r="1630" spans="13:13" x14ac:dyDescent="0.25">
      <c r="M1630" t="str">
        <f t="shared" ca="1" si="1302"/>
        <v/>
      </c>
    </row>
    <row r="1631" spans="13:13" x14ac:dyDescent="0.25">
      <c r="M1631" t="str">
        <f t="shared" ca="1" si="1302"/>
        <v/>
      </c>
    </row>
    <row r="1632" spans="13:13" x14ac:dyDescent="0.25">
      <c r="M1632" t="str">
        <f t="shared" ca="1" si="1302"/>
        <v/>
      </c>
    </row>
  </sheetData>
  <autoFilter ref="A1:J1201" xr:uid="{16221CB5-56F9-43EE-A1C6-B44607A52C59}">
    <filterColumn colId="5">
      <filters>
        <filter val="Enrolled"/>
      </filters>
    </filterColumn>
  </autoFilter>
  <conditionalFormatting sqref="H2:H1200">
    <cfRule type="cellIs" dxfId="2" priority="1" operator="greaterThan">
      <formula>5000</formula>
    </cfRule>
  </conditionalFormatting>
  <conditionalFormatting sqref="I2:I1200">
    <cfRule type="cellIs" dxfId="1" priority="2" operator="lessThan">
      <formula>2.5</formula>
    </cfRule>
    <cfRule type="expression" dxfId="0" priority="3">
      <formula>"&lt; 2.5"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tops</cp:lastModifiedBy>
  <cp:lastPrinted>2025-07-18T10:49:18Z</cp:lastPrinted>
  <dcterms:created xsi:type="dcterms:W3CDTF">2025-07-18T10:47:11Z</dcterms:created>
  <dcterms:modified xsi:type="dcterms:W3CDTF">2025-11-06T06:15:11Z</dcterms:modified>
</cp:coreProperties>
</file>